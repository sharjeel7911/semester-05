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A1E6CC7-3106-4646-A661-7BCF2A7D0E0F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3" i="1" l="1"/>
  <c r="G93" i="1" s="1"/>
  <c r="E92" i="1"/>
  <c r="G92" i="1" s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</calcChain>
</file>

<file path=xl/sharedStrings.xml><?xml version="1.0" encoding="utf-8"?>
<sst xmlns="http://schemas.openxmlformats.org/spreadsheetml/2006/main" count="163" uniqueCount="77">
  <si>
    <t>Total Character = 26</t>
  </si>
  <si>
    <t>K</t>
  </si>
  <si>
    <t>=</t>
  </si>
  <si>
    <t>X</t>
  </si>
  <si>
    <t>Y</t>
  </si>
  <si>
    <t>7*5 - 3*4</t>
  </si>
  <si>
    <t>35 - 12</t>
  </si>
  <si>
    <t>= ?</t>
  </si>
  <si>
    <t>1)</t>
  </si>
  <si>
    <t>,</t>
  </si>
  <si>
    <t>!=</t>
  </si>
  <si>
    <t xml:space="preserve">, </t>
  </si>
  <si>
    <t>det (K)</t>
  </si>
  <si>
    <t>Total Character = 24</t>
  </si>
  <si>
    <t>7*3 - 3*4</t>
  </si>
  <si>
    <t>21 - 12</t>
  </si>
  <si>
    <t>1,2,3,4,6,8,12,24</t>
  </si>
  <si>
    <t>There is common Factor that is 3</t>
  </si>
  <si>
    <t>Key is invalid</t>
  </si>
  <si>
    <t>2)</t>
  </si>
  <si>
    <t>Divisors of 26 = 1, 2, 13, 26</t>
  </si>
  <si>
    <t>3)</t>
  </si>
  <si>
    <t>4)</t>
  </si>
  <si>
    <t>det(K)</t>
  </si>
  <si>
    <t>5)</t>
  </si>
  <si>
    <t>Divisors of 23 = 1, 23</t>
  </si>
  <si>
    <t>6)</t>
  </si>
  <si>
    <t>Conditions for det(K):</t>
  </si>
  <si>
    <t>A)</t>
  </si>
  <si>
    <t>det(K) = 23 != 0</t>
  </si>
  <si>
    <t>B)</t>
  </si>
  <si>
    <t>23 and 26 have no common factor</t>
  </si>
  <si>
    <t>So, Key Matrix K is OK</t>
  </si>
  <si>
    <t>Therefore, solution (Encryption) is POSSIBLE.</t>
  </si>
  <si>
    <t>7)</t>
  </si>
  <si>
    <t>Encryption :</t>
  </si>
  <si>
    <t>K*X</t>
  </si>
  <si>
    <t>*</t>
  </si>
  <si>
    <t>7 * 7 + 3 * 4</t>
  </si>
  <si>
    <t>4 * 7 + 4 * 5</t>
  </si>
  <si>
    <t>61 MOD 26</t>
  </si>
  <si>
    <t>48 MOD 26</t>
  </si>
  <si>
    <t>8)</t>
  </si>
  <si>
    <t>Decryption :</t>
  </si>
  <si>
    <t>Y is the ciphertext received by the receiver.</t>
  </si>
  <si>
    <t>Receiver receives Y and K.</t>
  </si>
  <si>
    <t>How does the receiver calculate X from Y and K?</t>
  </si>
  <si>
    <t>We know that :</t>
  </si>
  <si>
    <t>K * X = Y</t>
  </si>
  <si>
    <r>
      <t xml:space="preserve">Multiply both sides with K </t>
    </r>
    <r>
      <rPr>
        <vertAlign val="superscript"/>
        <sz val="26"/>
        <color theme="1"/>
        <rFont val="Calibri"/>
        <family val="2"/>
        <scheme val="minor"/>
      </rPr>
      <t>-1</t>
    </r>
    <r>
      <rPr>
        <sz val="26"/>
        <color theme="1"/>
        <rFont val="Calibri"/>
        <family val="2"/>
        <scheme val="minor"/>
      </rPr>
      <t xml:space="preserve"> :</t>
    </r>
  </si>
  <si>
    <r>
      <t xml:space="preserve">K </t>
    </r>
    <r>
      <rPr>
        <vertAlign val="superscript"/>
        <sz val="28"/>
        <color rgb="FFFF0000"/>
        <rFont val="Calibri"/>
        <family val="2"/>
        <scheme val="minor"/>
      </rPr>
      <t xml:space="preserve">-1 </t>
    </r>
    <r>
      <rPr>
        <sz val="28"/>
        <color rgb="FFFF0000"/>
        <rFont val="Calibri"/>
        <family val="2"/>
        <scheme val="minor"/>
      </rPr>
      <t xml:space="preserve">* K * X = K </t>
    </r>
    <r>
      <rPr>
        <vertAlign val="superscript"/>
        <sz val="28"/>
        <color rgb="FFFF0000"/>
        <rFont val="Calibri"/>
        <family val="2"/>
        <scheme val="minor"/>
      </rPr>
      <t xml:space="preserve">-1 </t>
    </r>
    <r>
      <rPr>
        <sz val="28"/>
        <color rgb="FFFF0000"/>
        <rFont val="Calibri"/>
        <family val="2"/>
        <scheme val="minor"/>
      </rPr>
      <t>* Y</t>
    </r>
  </si>
  <si>
    <r>
      <t xml:space="preserve">X = K </t>
    </r>
    <r>
      <rPr>
        <vertAlign val="superscript"/>
        <sz val="28"/>
        <color rgb="FFFF0000"/>
        <rFont val="Calibri"/>
        <family val="2"/>
        <scheme val="minor"/>
      </rPr>
      <t xml:space="preserve">-1 </t>
    </r>
    <r>
      <rPr>
        <sz val="28"/>
        <color rgb="FFFF0000"/>
        <rFont val="Calibri"/>
        <family val="2"/>
        <scheme val="minor"/>
      </rPr>
      <t>* Y</t>
    </r>
  </si>
  <si>
    <r>
      <t xml:space="preserve">How does the receiver calculate K </t>
    </r>
    <r>
      <rPr>
        <vertAlign val="superscript"/>
        <sz val="26"/>
        <color theme="1"/>
        <rFont val="Calibri"/>
        <family val="2"/>
        <scheme val="minor"/>
      </rPr>
      <t>-1</t>
    </r>
    <r>
      <rPr>
        <sz val="26"/>
        <color theme="1"/>
        <rFont val="Calibri"/>
        <family val="2"/>
        <scheme val="minor"/>
      </rPr>
      <t xml:space="preserve"> ?</t>
    </r>
  </si>
  <si>
    <r>
      <t>K</t>
    </r>
    <r>
      <rPr>
        <vertAlign val="superscript"/>
        <sz val="28"/>
        <color rgb="FFFF0000"/>
        <rFont val="Calibri"/>
        <family val="2"/>
        <scheme val="minor"/>
      </rPr>
      <t>-1</t>
    </r>
  </si>
  <si>
    <t>C)</t>
  </si>
  <si>
    <r>
      <t>23</t>
    </r>
    <r>
      <rPr>
        <vertAlign val="superscript"/>
        <sz val="28"/>
        <color theme="1"/>
        <rFont val="Calibri"/>
        <family val="2"/>
        <scheme val="minor"/>
      </rPr>
      <t>-1</t>
    </r>
  </si>
  <si>
    <r>
      <t xml:space="preserve">How does the receiver calculate 23 </t>
    </r>
    <r>
      <rPr>
        <vertAlign val="superscript"/>
        <sz val="26"/>
        <color theme="1"/>
        <rFont val="Calibri"/>
        <family val="2"/>
        <scheme val="minor"/>
      </rPr>
      <t>-1</t>
    </r>
    <r>
      <rPr>
        <sz val="26"/>
        <color theme="1"/>
        <rFont val="Calibri"/>
        <family val="2"/>
        <scheme val="minor"/>
      </rPr>
      <t xml:space="preserve"> ?</t>
    </r>
  </si>
  <si>
    <t>M</t>
  </si>
  <si>
    <t>N</t>
  </si>
  <si>
    <t>M*N</t>
  </si>
  <si>
    <t>MOD(M*N, 26)</t>
  </si>
  <si>
    <r>
      <t xml:space="preserve">So, inverse of 23  = 23 </t>
    </r>
    <r>
      <rPr>
        <vertAlign val="superscript"/>
        <sz val="26"/>
        <color theme="1"/>
        <rFont val="Calibri"/>
        <family val="2"/>
        <scheme val="minor"/>
      </rPr>
      <t>-1</t>
    </r>
    <r>
      <rPr>
        <sz val="26"/>
        <color theme="1"/>
        <rFont val="Calibri"/>
        <family val="2"/>
        <scheme val="minor"/>
      </rPr>
      <t xml:space="preserve"> = 17</t>
    </r>
  </si>
  <si>
    <t>Therefore:</t>
  </si>
  <si>
    <t>85 MOD 26</t>
  </si>
  <si>
    <t>-68 MOD 26</t>
  </si>
  <si>
    <t>-51 MOD 26</t>
  </si>
  <si>
    <t>119 MOD 26</t>
  </si>
  <si>
    <r>
      <t>Now, we can calculate X using Y and K</t>
    </r>
    <r>
      <rPr>
        <vertAlign val="superscript"/>
        <sz val="28"/>
        <color rgb="FFFF0000"/>
        <rFont val="Calibri"/>
        <family val="2"/>
        <scheme val="minor"/>
      </rPr>
      <t>-1</t>
    </r>
  </si>
  <si>
    <t>So,</t>
  </si>
  <si>
    <r>
      <t xml:space="preserve">K </t>
    </r>
    <r>
      <rPr>
        <vertAlign val="superscript"/>
        <sz val="28"/>
        <color theme="1"/>
        <rFont val="Calibri"/>
        <family val="2"/>
        <scheme val="minor"/>
      </rPr>
      <t>-1</t>
    </r>
    <r>
      <rPr>
        <sz val="28"/>
        <color theme="1"/>
        <rFont val="Calibri"/>
        <family val="2"/>
        <scheme val="minor"/>
      </rPr>
      <t xml:space="preserve"> * Y</t>
    </r>
  </si>
  <si>
    <r>
      <t xml:space="preserve">K </t>
    </r>
    <r>
      <rPr>
        <vertAlign val="superscript"/>
        <sz val="36"/>
        <color theme="1"/>
        <rFont val="Calibri"/>
        <family val="2"/>
        <scheme val="minor"/>
      </rPr>
      <t>-1</t>
    </r>
  </si>
  <si>
    <t>7 * 9 + 1 * 22</t>
  </si>
  <si>
    <t>10 * 9 + 15 * 22</t>
  </si>
  <si>
    <t>420 MOD 26</t>
  </si>
  <si>
    <t>X is the plaintext.</t>
  </si>
  <si>
    <t>X is the Plaintext that the sender has.</t>
  </si>
  <si>
    <t>K is the Key Matrix.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</si>
</sst>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sz val="20"/>
      <color rgb="FF0000CC"/>
      <name val="Calibri"/>
      <family val="2"/>
      <scheme val="minor"/>
    </font>
    <font>
      <sz val="26"/>
      <color rgb="FFFF0000"/>
      <name val="Calibri"/>
      <family val="2"/>
      <scheme val="minor"/>
    </font>
    <font>
      <vertAlign val="superscript"/>
      <sz val="28"/>
      <color rgb="FFFF0000"/>
      <name val="Calibri"/>
      <family val="2"/>
      <scheme val="minor"/>
    </font>
    <font>
      <sz val="28"/>
      <color rgb="FF0000CC"/>
      <name val="Calibri"/>
      <family val="2"/>
      <scheme val="minor"/>
    </font>
    <font>
      <vertAlign val="superscript"/>
      <sz val="36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36"/>
      <color rgb="FFFFFF00"/>
      <name val="Calibri"/>
      <family val="2"/>
      <scheme val="minor"/>
    </font>
    <font>
      <vertAlign val="superscript"/>
      <sz val="26"/>
      <color theme="1"/>
      <name val="Calibri"/>
      <family val="2"/>
      <scheme val="minor"/>
    </font>
    <font>
      <vertAlign val="superscript"/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0" fontId="0" fillId="0" borderId="4" xfId="0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/>
    <xf numFmtId="0" fontId="0" fillId="0" borderId="0" xfId="0" applyBorder="1"/>
    <xf numFmtId="0" fontId="6" fillId="0" borderId="0" xfId="0" applyFont="1" applyAlignment="1"/>
    <xf numFmtId="0" fontId="7" fillId="0" borderId="0" xfId="0" quotePrefix="1" applyFont="1" applyAlignment="1"/>
    <xf numFmtId="0" fontId="6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0" xfId="0" applyFont="1"/>
    <xf numFmtId="0" fontId="8" fillId="3" borderId="0" xfId="0" applyFont="1" applyFill="1" applyAlignment="1">
      <alignment vertical="center"/>
    </xf>
    <xf numFmtId="0" fontId="9" fillId="0" borderId="0" xfId="0" applyFont="1"/>
    <xf numFmtId="0" fontId="9" fillId="3" borderId="0" xfId="0" applyFont="1" applyFill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quotePrefix="1" applyFont="1" applyAlignment="1">
      <alignment horizontal="center" vertical="center"/>
    </xf>
    <xf numFmtId="0" fontId="7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8" fillId="0" borderId="0" xfId="0" applyFont="1" applyFill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Fill="1" applyBorder="1"/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5" borderId="0" xfId="0" applyFont="1" applyFill="1" applyBorder="1" applyAlignment="1">
      <alignment horizontal="center" vertical="center"/>
    </xf>
    <xf numFmtId="0" fontId="6" fillId="4" borderId="0" xfId="0" applyFont="1" applyFill="1" applyAlignment="1"/>
    <xf numFmtId="0" fontId="6" fillId="2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15" fillId="6" borderId="0" xfId="0" applyFont="1" applyFill="1" applyAlignment="1">
      <alignment horizontal="left"/>
    </xf>
    <xf numFmtId="0" fontId="6" fillId="0" borderId="0" xfId="0" applyFont="1" applyFill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left"/>
    </xf>
    <xf numFmtId="0" fontId="2" fillId="0" borderId="0" xfId="0" applyFont="1" applyFill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6" fillId="4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Alignme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0" xfId="0" applyFont="1" applyFill="1" applyAlignment="1">
      <alignment vertical="center"/>
    </xf>
    <xf numFmtId="0" fontId="6" fillId="7" borderId="0" xfId="0" applyFont="1" applyFill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22" fillId="8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9"/>
  <sheetViews>
    <sheetView tabSelected="1" topLeftCell="A136" zoomScaleNormal="100" workbookViewId="0">
      <selection activeCell="V37" sqref="V37:W40"/>
    </sheetView>
  </sheetViews>
  <sheetFormatPr defaultRowHeight="15" x14ac:dyDescent="0.25"/>
  <cols>
    <col min="1" max="1" width="6.85546875" customWidth="1"/>
    <col min="3" max="3" width="8.28515625" customWidth="1"/>
    <col min="4" max="4" width="7.5703125" customWidth="1"/>
    <col min="5" max="5" width="13" customWidth="1"/>
    <col min="6" max="6" width="5.7109375" customWidth="1"/>
    <col min="7" max="7" width="10.85546875" customWidth="1"/>
    <col min="8" max="8" width="3.42578125" customWidth="1"/>
    <col min="9" max="9" width="10.140625" customWidth="1"/>
    <col min="10" max="10" width="3.7109375" customWidth="1"/>
    <col min="11" max="11" width="10.140625" customWidth="1"/>
    <col min="12" max="12" width="3.7109375" customWidth="1"/>
    <col min="13" max="13" width="7.42578125" customWidth="1"/>
    <col min="14" max="14" width="4.42578125" customWidth="1"/>
    <col min="15" max="15" width="8.85546875" customWidth="1"/>
    <col min="16" max="16" width="3.5703125" customWidth="1"/>
    <col min="17" max="17" width="2.7109375" customWidth="1"/>
    <col min="18" max="18" width="7.5703125" customWidth="1"/>
    <col min="19" max="19" width="3.7109375" customWidth="1"/>
    <col min="20" max="20" width="26.7109375" customWidth="1"/>
    <col min="21" max="21" width="3.28515625" customWidth="1"/>
    <col min="22" max="22" width="5.5703125" customWidth="1"/>
    <col min="23" max="23" width="7.5703125" customWidth="1"/>
    <col min="24" max="24" width="6.140625" customWidth="1"/>
  </cols>
  <sheetData>
    <row r="1" spans="1:20" ht="36" x14ac:dyDescent="0.55000000000000004">
      <c r="A1" s="18" t="s">
        <v>8</v>
      </c>
      <c r="B1" s="54" t="s">
        <v>0</v>
      </c>
      <c r="C1" s="54"/>
      <c r="D1" s="54"/>
      <c r="E1" s="54"/>
      <c r="F1" s="54"/>
      <c r="G1" s="54"/>
      <c r="H1" s="54"/>
      <c r="I1" s="61"/>
      <c r="J1" s="61"/>
      <c r="K1" s="61"/>
      <c r="L1" s="19"/>
      <c r="M1" s="21"/>
      <c r="N1" s="21"/>
      <c r="O1" s="20"/>
    </row>
    <row r="2" spans="1:20" ht="36" x14ac:dyDescent="0.55000000000000004">
      <c r="A2" s="18" t="s">
        <v>19</v>
      </c>
      <c r="B2" s="55" t="s">
        <v>20</v>
      </c>
      <c r="C2" s="55"/>
      <c r="D2" s="55"/>
      <c r="E2" s="55"/>
      <c r="F2" s="55"/>
      <c r="G2" s="55"/>
      <c r="H2" s="55"/>
      <c r="I2" s="61"/>
      <c r="J2" s="61"/>
      <c r="K2" s="61"/>
      <c r="L2" s="19"/>
      <c r="M2" s="21"/>
      <c r="N2" s="21"/>
      <c r="O2" s="20"/>
    </row>
    <row r="3" spans="1:20" ht="15.75" thickBot="1" x14ac:dyDescent="0.3"/>
    <row r="4" spans="1:20" ht="47.25" thickTop="1" x14ac:dyDescent="0.25">
      <c r="A4" s="41" t="s">
        <v>21</v>
      </c>
      <c r="B4" s="56" t="s">
        <v>1</v>
      </c>
      <c r="C4" s="38" t="s">
        <v>2</v>
      </c>
      <c r="D4" s="9"/>
      <c r="E4" s="40">
        <v>7</v>
      </c>
      <c r="F4" s="1"/>
      <c r="G4" s="40">
        <v>3</v>
      </c>
      <c r="H4" s="5"/>
      <c r="J4" s="119" t="s">
        <v>76</v>
      </c>
      <c r="K4" s="119"/>
      <c r="L4" s="119"/>
      <c r="M4" s="119"/>
      <c r="N4" s="119"/>
      <c r="O4" s="119"/>
      <c r="P4" s="119"/>
      <c r="Q4" s="119"/>
      <c r="R4" s="119"/>
      <c r="S4" s="119"/>
    </row>
    <row r="5" spans="1:20" ht="46.5" x14ac:dyDescent="0.25">
      <c r="A5" s="41"/>
      <c r="B5" s="56"/>
      <c r="C5" s="38"/>
      <c r="D5" s="2"/>
      <c r="E5" s="40"/>
      <c r="F5" s="1"/>
      <c r="G5" s="40"/>
      <c r="H5" s="6"/>
      <c r="J5" s="119"/>
      <c r="K5" s="119"/>
      <c r="L5" s="119"/>
      <c r="M5" s="119"/>
      <c r="N5" s="119"/>
      <c r="O5" s="119"/>
      <c r="P5" s="119"/>
      <c r="Q5" s="119"/>
      <c r="R5" s="119"/>
      <c r="S5" s="119"/>
    </row>
    <row r="6" spans="1:20" ht="46.5" x14ac:dyDescent="0.25">
      <c r="A6" s="41"/>
      <c r="B6" s="56"/>
      <c r="C6" s="38"/>
      <c r="D6" s="2"/>
      <c r="E6" s="40">
        <v>4</v>
      </c>
      <c r="F6" s="1"/>
      <c r="G6" s="40">
        <v>5</v>
      </c>
      <c r="H6" s="7"/>
      <c r="I6" s="4"/>
      <c r="J6" s="119"/>
      <c r="K6" s="119"/>
      <c r="L6" s="119"/>
      <c r="M6" s="119"/>
      <c r="N6" s="119"/>
      <c r="O6" s="119"/>
      <c r="P6" s="119"/>
      <c r="Q6" s="119"/>
      <c r="R6" s="119"/>
      <c r="S6" s="119"/>
    </row>
    <row r="7" spans="1:20" ht="47.25" thickBot="1" x14ac:dyDescent="0.3">
      <c r="A7" s="41"/>
      <c r="B7" s="56"/>
      <c r="C7" s="38"/>
      <c r="D7" s="10"/>
      <c r="E7" s="40"/>
      <c r="F7" s="1"/>
      <c r="G7" s="40"/>
      <c r="H7" s="11"/>
      <c r="J7" s="119"/>
      <c r="K7" s="119"/>
      <c r="L7" s="119"/>
      <c r="M7" s="119"/>
      <c r="N7" s="119"/>
      <c r="O7" s="119"/>
      <c r="P7" s="119"/>
      <c r="Q7" s="119"/>
      <c r="R7" s="119"/>
      <c r="S7" s="119"/>
    </row>
    <row r="8" spans="1:20" ht="48" thickTop="1" thickBot="1" x14ac:dyDescent="0.3">
      <c r="A8" s="27"/>
      <c r="B8" s="58"/>
      <c r="C8" s="57"/>
      <c r="D8" s="57"/>
      <c r="E8" s="3"/>
      <c r="F8" s="1"/>
      <c r="G8" s="3"/>
      <c r="H8" s="7"/>
      <c r="J8" s="2"/>
      <c r="K8" s="57"/>
      <c r="L8" s="57"/>
      <c r="M8" s="22"/>
      <c r="N8" s="7"/>
    </row>
    <row r="9" spans="1:20" ht="47.25" thickTop="1" x14ac:dyDescent="0.25">
      <c r="A9" s="27"/>
      <c r="B9" s="118" t="s">
        <v>3</v>
      </c>
      <c r="C9" s="38" t="s">
        <v>2</v>
      </c>
      <c r="D9" s="9"/>
      <c r="E9" s="50">
        <v>7</v>
      </c>
      <c r="F9" s="5"/>
      <c r="G9" s="3"/>
      <c r="H9" s="119" t="s">
        <v>75</v>
      </c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</row>
    <row r="10" spans="1:20" ht="46.5" x14ac:dyDescent="0.25">
      <c r="A10" s="27"/>
      <c r="B10" s="118"/>
      <c r="C10" s="38"/>
      <c r="D10" s="2"/>
      <c r="E10" s="50"/>
      <c r="F10" s="6"/>
      <c r="G10" s="3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</row>
    <row r="11" spans="1:20" ht="46.5" x14ac:dyDescent="0.25">
      <c r="A11" s="27"/>
      <c r="B11" s="118"/>
      <c r="C11" s="38"/>
      <c r="D11" s="2"/>
      <c r="E11" s="51">
        <v>4</v>
      </c>
      <c r="F11" s="6"/>
      <c r="G11" s="3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</row>
    <row r="12" spans="1:20" ht="47.25" thickBot="1" x14ac:dyDescent="0.3">
      <c r="A12" s="27"/>
      <c r="B12" s="118"/>
      <c r="C12" s="38"/>
      <c r="D12" s="10"/>
      <c r="E12" s="51"/>
      <c r="F12" s="11"/>
      <c r="G12" s="3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7"/>
    </row>
    <row r="13" spans="1:20" ht="47.25" thickTop="1" x14ac:dyDescent="0.25">
      <c r="A13" s="27"/>
      <c r="B13" s="58"/>
      <c r="C13" s="57"/>
      <c r="D13" s="57"/>
      <c r="E13" s="3"/>
      <c r="F13" s="1"/>
      <c r="G13" s="3"/>
      <c r="H13" s="7"/>
      <c r="J13" s="2"/>
      <c r="K13" s="57"/>
      <c r="L13" s="57"/>
      <c r="M13" s="22"/>
      <c r="N13" s="7"/>
      <c r="R13" s="57"/>
      <c r="T13" s="7"/>
    </row>
    <row r="14" spans="1:20" ht="46.5" x14ac:dyDescent="0.7">
      <c r="A14" s="36" t="s">
        <v>22</v>
      </c>
      <c r="B14" s="60" t="s">
        <v>23</v>
      </c>
      <c r="C14" s="60"/>
      <c r="D14" s="60"/>
      <c r="E14" s="59" t="s">
        <v>2</v>
      </c>
      <c r="G14" s="100" t="s">
        <v>1</v>
      </c>
      <c r="H14" s="38"/>
      <c r="I14" s="16" t="s">
        <v>2</v>
      </c>
      <c r="J14" s="69" t="s">
        <v>5</v>
      </c>
      <c r="K14" s="69"/>
      <c r="L14" s="69"/>
      <c r="M14" s="69"/>
      <c r="N14" s="16" t="s">
        <v>2</v>
      </c>
      <c r="O14" s="99" t="s">
        <v>6</v>
      </c>
      <c r="P14" s="99"/>
      <c r="Q14" s="99"/>
      <c r="R14" s="99"/>
      <c r="S14" s="16" t="s">
        <v>2</v>
      </c>
      <c r="T14" s="33">
        <v>23</v>
      </c>
    </row>
    <row r="15" spans="1:20" x14ac:dyDescent="0.25">
      <c r="H15" s="12"/>
    </row>
    <row r="16" spans="1:20" ht="36" x14ac:dyDescent="0.25">
      <c r="A16" s="36" t="s">
        <v>24</v>
      </c>
      <c r="B16" s="55" t="s">
        <v>25</v>
      </c>
      <c r="C16" s="55"/>
      <c r="D16" s="55"/>
      <c r="E16" s="55"/>
      <c r="F16" s="55"/>
      <c r="G16" s="55"/>
      <c r="H16" s="55"/>
      <c r="I16" s="61"/>
      <c r="J16" s="61"/>
      <c r="K16" s="61"/>
    </row>
    <row r="17" spans="1:24" ht="46.5" x14ac:dyDescent="0.25">
      <c r="A17" s="64"/>
      <c r="B17" s="65"/>
      <c r="C17" s="66"/>
      <c r="D17" s="64"/>
      <c r="E17" s="64"/>
      <c r="F17" s="64"/>
      <c r="G17" s="64"/>
    </row>
    <row r="18" spans="1:24" ht="36" x14ac:dyDescent="0.55000000000000004">
      <c r="A18" s="36" t="s">
        <v>26</v>
      </c>
      <c r="B18" s="55" t="s">
        <v>27</v>
      </c>
      <c r="C18" s="55"/>
      <c r="D18" s="55"/>
      <c r="E18" s="55"/>
      <c r="F18" s="55"/>
      <c r="G18" s="55"/>
      <c r="H18" s="55"/>
      <c r="I18" s="55"/>
      <c r="J18" s="55"/>
      <c r="K18" s="24"/>
    </row>
    <row r="19" spans="1:24" ht="36" x14ac:dyDescent="0.55000000000000004">
      <c r="B19" s="12"/>
      <c r="C19" s="67" t="s">
        <v>28</v>
      </c>
      <c r="D19" s="54" t="s">
        <v>29</v>
      </c>
      <c r="E19" s="54"/>
      <c r="F19" s="54"/>
      <c r="G19" s="54"/>
      <c r="H19" s="54"/>
      <c r="I19" s="54"/>
      <c r="J19" s="54"/>
      <c r="K19" s="46"/>
      <c r="L19" s="46"/>
      <c r="M19" s="46"/>
      <c r="N19" s="14"/>
    </row>
    <row r="20" spans="1:24" ht="33.75" x14ac:dyDescent="0.25">
      <c r="B20" s="12"/>
      <c r="C20" s="67" t="s">
        <v>30</v>
      </c>
      <c r="D20" s="54" t="s">
        <v>31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</row>
    <row r="21" spans="1:24" ht="36" x14ac:dyDescent="0.55000000000000004">
      <c r="B21" s="68" t="s">
        <v>32</v>
      </c>
      <c r="C21" s="68"/>
      <c r="D21" s="68"/>
      <c r="E21" s="68"/>
      <c r="F21" s="68"/>
      <c r="G21" s="68"/>
      <c r="H21" s="68"/>
      <c r="I21" s="68"/>
      <c r="J21" s="68"/>
      <c r="K21" s="13"/>
      <c r="L21" s="13"/>
      <c r="M21" s="13"/>
      <c r="N21" s="13"/>
      <c r="O21" s="13"/>
      <c r="P21" s="13"/>
      <c r="Q21" s="13"/>
    </row>
    <row r="22" spans="1:24" ht="36" x14ac:dyDescent="0.55000000000000004">
      <c r="B22" s="69" t="s">
        <v>33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</row>
    <row r="23" spans="1:24" ht="36" x14ac:dyDescent="0.55000000000000004">
      <c r="A23" s="63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63"/>
      <c r="T23" s="63"/>
    </row>
    <row r="24" spans="1:24" ht="36" x14ac:dyDescent="0.55000000000000004">
      <c r="A24" s="36" t="s">
        <v>34</v>
      </c>
      <c r="B24" s="71" t="s">
        <v>35</v>
      </c>
      <c r="C24" s="71"/>
      <c r="D24" s="71"/>
      <c r="E24" s="71"/>
      <c r="F24" s="71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63"/>
      <c r="T24" s="63"/>
    </row>
    <row r="25" spans="1:24" ht="46.5" x14ac:dyDescent="0.55000000000000004">
      <c r="A25" s="36"/>
      <c r="B25" s="80"/>
      <c r="C25" s="80"/>
      <c r="D25" s="80"/>
      <c r="E25" s="80"/>
      <c r="F25" s="80"/>
      <c r="G25" s="70"/>
      <c r="H25" s="79" t="s">
        <v>1</v>
      </c>
      <c r="I25" s="79"/>
      <c r="J25" s="79"/>
      <c r="K25" s="79"/>
      <c r="L25" s="79"/>
      <c r="M25" s="81" t="s">
        <v>37</v>
      </c>
      <c r="N25" s="79" t="s">
        <v>3</v>
      </c>
      <c r="O25" s="79"/>
      <c r="P25" s="79"/>
      <c r="Q25" s="93" t="s">
        <v>2</v>
      </c>
      <c r="R25" s="93"/>
      <c r="S25" s="92" t="s">
        <v>4</v>
      </c>
      <c r="T25" s="92"/>
      <c r="U25" s="92"/>
      <c r="V25" s="63"/>
      <c r="W25" s="63"/>
    </row>
    <row r="26" spans="1:24" ht="15" customHeight="1" thickBot="1" x14ac:dyDescent="0.6">
      <c r="A26" s="63"/>
      <c r="B26" s="70"/>
      <c r="C26" s="70"/>
      <c r="D26" s="70"/>
      <c r="E26" s="70"/>
      <c r="F26" s="70"/>
      <c r="G26" s="70"/>
      <c r="H26" s="70"/>
      <c r="I26" s="70"/>
      <c r="J26" s="70"/>
      <c r="T26" s="63"/>
      <c r="U26" s="63"/>
      <c r="V26" s="63"/>
      <c r="W26" s="63"/>
    </row>
    <row r="27" spans="1:24" ht="47.25" thickTop="1" x14ac:dyDescent="0.55000000000000004">
      <c r="A27" s="63"/>
      <c r="B27" s="70"/>
      <c r="C27" s="72" t="s">
        <v>4</v>
      </c>
      <c r="D27" s="72" t="s">
        <v>2</v>
      </c>
      <c r="E27" s="41" t="s">
        <v>36</v>
      </c>
      <c r="F27" s="41"/>
      <c r="G27" s="38" t="s">
        <v>2</v>
      </c>
      <c r="H27" s="9"/>
      <c r="I27" s="74">
        <v>7</v>
      </c>
      <c r="J27" s="1"/>
      <c r="K27" s="75">
        <v>3</v>
      </c>
      <c r="L27" s="5"/>
      <c r="M27" s="48" t="s">
        <v>37</v>
      </c>
      <c r="N27" s="77"/>
      <c r="O27" s="82">
        <v>7</v>
      </c>
      <c r="P27" s="5"/>
      <c r="R27" s="42" t="s">
        <v>2</v>
      </c>
      <c r="S27" s="77"/>
      <c r="T27" s="84" t="s">
        <v>38</v>
      </c>
      <c r="U27" s="5"/>
      <c r="V27" s="87"/>
      <c r="W27" s="34"/>
      <c r="X27" s="29"/>
    </row>
    <row r="28" spans="1:24" ht="46.5" x14ac:dyDescent="0.55000000000000004">
      <c r="A28" s="63"/>
      <c r="B28" s="70"/>
      <c r="C28" s="72"/>
      <c r="D28" s="72"/>
      <c r="E28" s="41"/>
      <c r="F28" s="41"/>
      <c r="G28" s="38"/>
      <c r="H28" s="2"/>
      <c r="I28" s="74"/>
      <c r="J28" s="1"/>
      <c r="K28" s="75"/>
      <c r="L28" s="6"/>
      <c r="M28" s="48"/>
      <c r="N28" s="78"/>
      <c r="O28" s="82"/>
      <c r="P28" s="6"/>
      <c r="R28" s="42"/>
      <c r="S28" s="78"/>
      <c r="T28" s="84"/>
      <c r="U28" s="6"/>
      <c r="V28" s="87"/>
      <c r="W28" s="15"/>
    </row>
    <row r="29" spans="1:24" ht="46.5" x14ac:dyDescent="0.55000000000000004">
      <c r="A29" s="63"/>
      <c r="B29" s="70"/>
      <c r="C29" s="72"/>
      <c r="D29" s="72"/>
      <c r="E29" s="41"/>
      <c r="F29" s="41"/>
      <c r="G29" s="38"/>
      <c r="H29" s="2"/>
      <c r="I29" s="73">
        <v>4</v>
      </c>
      <c r="J29" s="1"/>
      <c r="K29" s="76">
        <v>5</v>
      </c>
      <c r="L29" s="7"/>
      <c r="M29" s="48"/>
      <c r="N29" s="78"/>
      <c r="O29" s="83">
        <v>4</v>
      </c>
      <c r="P29" s="6"/>
      <c r="R29" s="42"/>
      <c r="S29" s="78"/>
      <c r="T29" s="85" t="s">
        <v>39</v>
      </c>
      <c r="U29" s="6"/>
      <c r="V29" s="87"/>
    </row>
    <row r="30" spans="1:24" ht="47.25" thickBot="1" x14ac:dyDescent="0.6">
      <c r="A30" s="63"/>
      <c r="B30" s="70"/>
      <c r="C30" s="72"/>
      <c r="D30" s="72"/>
      <c r="E30" s="41"/>
      <c r="F30" s="41"/>
      <c r="G30" s="38"/>
      <c r="H30" s="10"/>
      <c r="I30" s="73"/>
      <c r="J30" s="1"/>
      <c r="K30" s="76"/>
      <c r="L30" s="11"/>
      <c r="M30" s="48"/>
      <c r="N30" s="10"/>
      <c r="O30" s="83"/>
      <c r="P30" s="11"/>
      <c r="R30" s="42"/>
      <c r="S30" s="10"/>
      <c r="T30" s="85"/>
      <c r="U30" s="11"/>
      <c r="V30" s="87"/>
      <c r="W30" s="34"/>
      <c r="X30" s="29"/>
    </row>
    <row r="31" spans="1:24" ht="37.5" thickTop="1" thickBot="1" x14ac:dyDescent="0.6">
      <c r="A31" s="63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63"/>
      <c r="T31" s="63"/>
      <c r="U31" s="63"/>
      <c r="V31" s="63"/>
      <c r="W31" s="63"/>
    </row>
    <row r="32" spans="1:24" ht="47.25" thickTop="1" x14ac:dyDescent="0.55000000000000004">
      <c r="A32" s="63"/>
      <c r="B32" s="70"/>
      <c r="C32" s="70"/>
      <c r="D32" s="70"/>
      <c r="E32" s="70"/>
      <c r="F32" s="70"/>
      <c r="G32" s="42" t="s">
        <v>2</v>
      </c>
      <c r="H32" s="77"/>
      <c r="I32" s="84">
        <v>61</v>
      </c>
      <c r="J32" s="5"/>
      <c r="K32" s="42" t="s">
        <v>2</v>
      </c>
      <c r="L32" s="77"/>
      <c r="M32" s="84" t="s">
        <v>40</v>
      </c>
      <c r="N32" s="84"/>
      <c r="O32" s="84"/>
      <c r="P32" s="84"/>
      <c r="Q32" s="5"/>
      <c r="R32" s="42" t="s">
        <v>2</v>
      </c>
      <c r="S32" s="77"/>
      <c r="T32" s="84">
        <v>9</v>
      </c>
      <c r="U32" s="5"/>
      <c r="V32" s="63"/>
      <c r="W32" s="63"/>
    </row>
    <row r="33" spans="1:23" ht="46.5" x14ac:dyDescent="0.55000000000000004">
      <c r="A33" s="63"/>
      <c r="B33" s="70"/>
      <c r="C33" s="70"/>
      <c r="D33" s="70"/>
      <c r="E33" s="70"/>
      <c r="F33" s="70"/>
      <c r="G33" s="42"/>
      <c r="H33" s="78"/>
      <c r="I33" s="84"/>
      <c r="J33" s="6"/>
      <c r="K33" s="42"/>
      <c r="L33" s="78"/>
      <c r="M33" s="84"/>
      <c r="N33" s="84"/>
      <c r="O33" s="84"/>
      <c r="P33" s="84"/>
      <c r="Q33" s="6"/>
      <c r="R33" s="42"/>
      <c r="S33" s="78"/>
      <c r="T33" s="84"/>
      <c r="U33" s="6"/>
      <c r="V33" s="63"/>
      <c r="W33" s="63"/>
    </row>
    <row r="34" spans="1:23" ht="46.5" x14ac:dyDescent="0.55000000000000004">
      <c r="A34" s="63"/>
      <c r="B34" s="70"/>
      <c r="C34" s="70"/>
      <c r="D34" s="70"/>
      <c r="E34" s="70"/>
      <c r="F34" s="70"/>
      <c r="G34" s="42"/>
      <c r="H34" s="78"/>
      <c r="I34" s="85">
        <v>48</v>
      </c>
      <c r="J34" s="6"/>
      <c r="K34" s="42"/>
      <c r="L34" s="78"/>
      <c r="M34" s="85" t="s">
        <v>41</v>
      </c>
      <c r="N34" s="85"/>
      <c r="O34" s="85"/>
      <c r="P34" s="85"/>
      <c r="Q34" s="6"/>
      <c r="R34" s="42"/>
      <c r="S34" s="78"/>
      <c r="T34" s="85">
        <v>22</v>
      </c>
      <c r="U34" s="6"/>
      <c r="V34" s="63"/>
      <c r="W34" s="63"/>
    </row>
    <row r="35" spans="1:23" ht="47.25" thickBot="1" x14ac:dyDescent="0.6">
      <c r="A35" s="63"/>
      <c r="B35" s="70"/>
      <c r="C35" s="70"/>
      <c r="D35" s="70"/>
      <c r="E35" s="70"/>
      <c r="F35" s="70"/>
      <c r="G35" s="42"/>
      <c r="H35" s="10"/>
      <c r="I35" s="85"/>
      <c r="J35" s="11"/>
      <c r="K35" s="42"/>
      <c r="L35" s="10"/>
      <c r="M35" s="85"/>
      <c r="N35" s="85"/>
      <c r="O35" s="85"/>
      <c r="P35" s="85"/>
      <c r="Q35" s="11"/>
      <c r="R35" s="42"/>
      <c r="S35" s="10"/>
      <c r="T35" s="85"/>
      <c r="U35" s="11"/>
      <c r="V35" s="63"/>
      <c r="W35" s="63"/>
    </row>
    <row r="36" spans="1:23" ht="37.5" thickTop="1" thickBot="1" x14ac:dyDescent="0.6">
      <c r="A36" s="63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63"/>
      <c r="T36" s="63"/>
      <c r="U36" s="63"/>
      <c r="V36" s="63"/>
      <c r="W36" s="63"/>
    </row>
    <row r="37" spans="1:23" ht="47.25" thickTop="1" x14ac:dyDescent="0.55000000000000004">
      <c r="A37" s="63"/>
      <c r="B37" s="70"/>
      <c r="C37" s="90" t="s">
        <v>4</v>
      </c>
      <c r="D37" s="90"/>
      <c r="E37" s="88" t="s">
        <v>2</v>
      </c>
      <c r="F37" s="77"/>
      <c r="G37" s="91">
        <v>9</v>
      </c>
      <c r="H37" s="5"/>
      <c r="I37" s="70"/>
      <c r="J37" s="62" t="s">
        <v>44</v>
      </c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1"/>
      <c r="W37" s="61"/>
    </row>
    <row r="38" spans="1:23" ht="46.5" x14ac:dyDescent="0.55000000000000004">
      <c r="A38" s="63"/>
      <c r="B38" s="70"/>
      <c r="C38" s="90"/>
      <c r="D38" s="90"/>
      <c r="E38" s="88"/>
      <c r="F38" s="78"/>
      <c r="G38" s="91"/>
      <c r="H38" s="6"/>
      <c r="I38" s="70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1"/>
      <c r="W38" s="61"/>
    </row>
    <row r="39" spans="1:23" ht="46.5" x14ac:dyDescent="0.55000000000000004">
      <c r="A39" s="63"/>
      <c r="B39" s="70"/>
      <c r="C39" s="90"/>
      <c r="D39" s="90"/>
      <c r="E39" s="88"/>
      <c r="F39" s="78"/>
      <c r="G39" s="91">
        <v>22</v>
      </c>
      <c r="H39" s="6"/>
      <c r="I39" s="70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1"/>
      <c r="W39" s="61"/>
    </row>
    <row r="40" spans="1:23" ht="47.25" thickBot="1" x14ac:dyDescent="0.6">
      <c r="A40" s="63"/>
      <c r="B40" s="70"/>
      <c r="C40" s="90"/>
      <c r="D40" s="90"/>
      <c r="E40" s="88"/>
      <c r="F40" s="10"/>
      <c r="G40" s="91"/>
      <c r="H40" s="11"/>
      <c r="I40" s="70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1"/>
      <c r="W40" s="61"/>
    </row>
    <row r="41" spans="1:23" ht="36.75" thickTop="1" x14ac:dyDescent="0.55000000000000004">
      <c r="A41" s="63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63"/>
      <c r="T41" s="63"/>
      <c r="U41" s="63"/>
      <c r="V41" s="63"/>
      <c r="W41" s="63"/>
    </row>
    <row r="42" spans="1:23" ht="36" x14ac:dyDescent="0.55000000000000004">
      <c r="A42" s="36" t="s">
        <v>42</v>
      </c>
      <c r="B42" s="71" t="s">
        <v>43</v>
      </c>
      <c r="C42" s="71"/>
      <c r="D42" s="71"/>
      <c r="E42" s="71"/>
      <c r="F42" s="71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63"/>
      <c r="T42" s="63"/>
      <c r="U42" s="63"/>
      <c r="V42" s="63"/>
      <c r="W42" s="63"/>
    </row>
    <row r="43" spans="1:23" ht="36" x14ac:dyDescent="0.55000000000000004">
      <c r="A43" s="36"/>
      <c r="B43" s="80"/>
      <c r="C43" s="80"/>
      <c r="D43" s="80"/>
      <c r="E43" s="80"/>
      <c r="F43" s="8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63"/>
      <c r="T43" s="63"/>
      <c r="U43" s="63"/>
      <c r="V43" s="63"/>
      <c r="W43" s="63"/>
    </row>
    <row r="44" spans="1:23" s="63" customFormat="1" ht="36" x14ac:dyDescent="0.55000000000000004">
      <c r="A44" s="96"/>
      <c r="B44" s="104" t="s">
        <v>28</v>
      </c>
      <c r="C44" s="94" t="s">
        <v>45</v>
      </c>
      <c r="D44" s="94"/>
      <c r="E44" s="94"/>
      <c r="F44" s="94"/>
      <c r="G44" s="94"/>
      <c r="H44" s="94"/>
      <c r="I44" s="94"/>
      <c r="J44" s="94"/>
      <c r="K44" s="94"/>
      <c r="L44" s="97"/>
      <c r="M44" s="97"/>
      <c r="N44" s="70"/>
      <c r="O44" s="70"/>
      <c r="P44" s="70"/>
      <c r="Q44" s="70"/>
      <c r="R44" s="70"/>
    </row>
    <row r="45" spans="1:23" ht="36" x14ac:dyDescent="0.55000000000000004">
      <c r="A45" s="63"/>
      <c r="B45" s="70"/>
      <c r="C45" s="94" t="s">
        <v>46</v>
      </c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63"/>
      <c r="U45" s="63"/>
      <c r="V45" s="63"/>
      <c r="W45" s="63"/>
    </row>
    <row r="46" spans="1:23" ht="36" x14ac:dyDescent="0.55000000000000004">
      <c r="A46" s="63"/>
      <c r="B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63"/>
      <c r="T46" s="63"/>
      <c r="U46" s="63"/>
      <c r="V46" s="63"/>
      <c r="W46" s="63"/>
    </row>
    <row r="47" spans="1:23" ht="36" x14ac:dyDescent="0.55000000000000004">
      <c r="A47" s="63"/>
      <c r="B47" s="70"/>
      <c r="C47" s="102" t="s">
        <v>47</v>
      </c>
      <c r="D47" s="102"/>
      <c r="E47" s="102"/>
      <c r="F47" s="102"/>
      <c r="G47" s="102"/>
      <c r="H47" s="102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63"/>
      <c r="T47" s="63"/>
      <c r="U47" s="63"/>
      <c r="V47" s="63"/>
      <c r="W47" s="63"/>
    </row>
    <row r="48" spans="1:23" ht="36" x14ac:dyDescent="0.55000000000000004">
      <c r="A48" s="63"/>
      <c r="B48" s="70"/>
      <c r="D48" s="103"/>
      <c r="E48" s="101" t="s">
        <v>48</v>
      </c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63"/>
      <c r="U48" s="63"/>
      <c r="V48" s="63"/>
      <c r="W48" s="63"/>
    </row>
    <row r="49" spans="1:23" ht="39" x14ac:dyDescent="0.55000000000000004">
      <c r="A49" s="63"/>
      <c r="B49" s="70"/>
      <c r="C49" s="102" t="s">
        <v>49</v>
      </c>
      <c r="D49" s="102"/>
      <c r="E49" s="102"/>
      <c r="F49" s="102"/>
      <c r="G49" s="102"/>
      <c r="H49" s="102"/>
      <c r="I49" s="102"/>
      <c r="J49" s="102"/>
      <c r="K49" s="102"/>
      <c r="L49" s="102"/>
      <c r="M49" s="70"/>
      <c r="N49" s="70"/>
      <c r="O49" s="70"/>
      <c r="P49" s="70"/>
      <c r="Q49" s="70"/>
      <c r="R49" s="70"/>
      <c r="S49" s="63"/>
      <c r="T49" s="63"/>
      <c r="U49" s="63"/>
      <c r="V49" s="63"/>
      <c r="W49" s="63"/>
    </row>
    <row r="50" spans="1:23" ht="41.25" x14ac:dyDescent="0.55000000000000004">
      <c r="A50" s="63"/>
      <c r="B50" s="70"/>
      <c r="D50" s="103"/>
      <c r="E50" s="101" t="s">
        <v>50</v>
      </c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63"/>
      <c r="U50" s="63"/>
      <c r="V50" s="63"/>
      <c r="W50" s="63"/>
    </row>
    <row r="51" spans="1:23" ht="36" x14ac:dyDescent="0.55000000000000004">
      <c r="A51" s="63"/>
      <c r="B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63"/>
      <c r="T51" s="63"/>
      <c r="U51" s="63"/>
      <c r="V51" s="63"/>
      <c r="W51" s="63"/>
    </row>
    <row r="52" spans="1:23" ht="41.25" x14ac:dyDescent="0.55000000000000004">
      <c r="A52" s="63"/>
      <c r="B52" s="70"/>
      <c r="D52" s="29"/>
      <c r="E52" s="101" t="s">
        <v>51</v>
      </c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63"/>
      <c r="U52" s="63"/>
      <c r="V52" s="63"/>
      <c r="W52" s="63"/>
    </row>
    <row r="53" spans="1:23" ht="36" x14ac:dyDescent="0.55000000000000004">
      <c r="A53" s="63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63"/>
      <c r="T53" s="63"/>
      <c r="U53" s="63"/>
      <c r="V53" s="63"/>
      <c r="W53" s="63"/>
    </row>
    <row r="54" spans="1:23" ht="39" x14ac:dyDescent="0.55000000000000004">
      <c r="A54" s="63"/>
      <c r="B54" s="104" t="s">
        <v>30</v>
      </c>
      <c r="C54" s="94" t="s">
        <v>52</v>
      </c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63"/>
      <c r="U54" s="63"/>
      <c r="V54" s="63"/>
      <c r="W54" s="63"/>
    </row>
    <row r="55" spans="1:23" ht="36" x14ac:dyDescent="0.55000000000000004">
      <c r="A55" s="63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63"/>
      <c r="T55" s="63"/>
      <c r="U55" s="63"/>
      <c r="V55" s="63"/>
      <c r="W55" s="63"/>
    </row>
    <row r="56" spans="1:23" ht="42" customHeight="1" thickBot="1" x14ac:dyDescent="0.6">
      <c r="A56" s="63"/>
      <c r="B56" s="70"/>
      <c r="C56" s="42" t="s">
        <v>53</v>
      </c>
      <c r="D56" s="41" t="s">
        <v>2</v>
      </c>
      <c r="E56" s="105">
        <v>1</v>
      </c>
      <c r="F56" s="105"/>
      <c r="G56" s="105"/>
      <c r="I56" s="30">
        <v>5</v>
      </c>
      <c r="K56" s="31">
        <v>-3</v>
      </c>
      <c r="L56" s="70"/>
      <c r="M56" s="70"/>
      <c r="N56" s="70"/>
      <c r="O56" s="70"/>
      <c r="P56" s="70"/>
      <c r="Q56" s="70"/>
      <c r="R56" s="70"/>
      <c r="S56" s="63"/>
      <c r="T56" s="63"/>
      <c r="U56" s="63"/>
      <c r="V56" s="63"/>
      <c r="W56" s="63"/>
    </row>
    <row r="57" spans="1:23" ht="36.75" thickTop="1" x14ac:dyDescent="0.55000000000000004">
      <c r="A57" s="63"/>
      <c r="B57" s="70"/>
      <c r="C57" s="42"/>
      <c r="D57" s="41"/>
      <c r="E57" s="106" t="s">
        <v>12</v>
      </c>
      <c r="F57" s="106"/>
      <c r="G57" s="106"/>
      <c r="I57" s="30">
        <v>-4</v>
      </c>
      <c r="K57" s="31">
        <v>7</v>
      </c>
      <c r="L57" s="70"/>
      <c r="M57" s="70"/>
      <c r="N57" s="70"/>
      <c r="O57" s="70"/>
      <c r="P57" s="70"/>
      <c r="Q57" s="70"/>
      <c r="R57" s="70"/>
      <c r="S57" s="63"/>
      <c r="T57" s="63"/>
      <c r="U57" s="63"/>
      <c r="V57" s="63"/>
      <c r="W57" s="63"/>
    </row>
    <row r="58" spans="1:23" ht="36" x14ac:dyDescent="0.55000000000000004">
      <c r="A58" s="63"/>
      <c r="B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63"/>
      <c r="T58" s="63"/>
      <c r="U58" s="63"/>
      <c r="V58" s="63"/>
      <c r="W58" s="63"/>
    </row>
    <row r="59" spans="1:23" ht="36.75" thickBot="1" x14ac:dyDescent="0.6">
      <c r="A59" s="63"/>
      <c r="B59" s="70"/>
      <c r="C59" s="26"/>
      <c r="D59" s="41" t="s">
        <v>2</v>
      </c>
      <c r="E59" s="105">
        <v>1</v>
      </c>
      <c r="F59" s="105"/>
      <c r="G59" s="105"/>
      <c r="I59" s="30">
        <v>5</v>
      </c>
      <c r="K59" s="31">
        <v>-3</v>
      </c>
      <c r="L59" s="70"/>
      <c r="M59" s="70"/>
      <c r="N59" s="70"/>
      <c r="O59" s="70"/>
      <c r="P59" s="70"/>
      <c r="Q59" s="70"/>
      <c r="R59" s="70"/>
      <c r="S59" s="63"/>
      <c r="T59" s="63"/>
      <c r="U59" s="63"/>
      <c r="V59" s="63"/>
      <c r="W59" s="63"/>
    </row>
    <row r="60" spans="1:23" ht="36.75" thickTop="1" x14ac:dyDescent="0.55000000000000004">
      <c r="A60" s="63"/>
      <c r="B60" s="70"/>
      <c r="D60" s="41"/>
      <c r="E60" s="106">
        <v>23</v>
      </c>
      <c r="F60" s="106"/>
      <c r="G60" s="106"/>
      <c r="I60" s="30">
        <v>-4</v>
      </c>
      <c r="K60" s="31">
        <v>7</v>
      </c>
      <c r="L60" s="70"/>
      <c r="M60" s="70"/>
      <c r="N60" s="70"/>
      <c r="O60" s="70"/>
      <c r="P60" s="70"/>
      <c r="Q60" s="70"/>
      <c r="R60" s="70"/>
      <c r="S60" s="63"/>
      <c r="T60" s="63"/>
      <c r="U60" s="63"/>
      <c r="V60" s="63"/>
      <c r="W60" s="63"/>
    </row>
    <row r="61" spans="1:23" ht="36" x14ac:dyDescent="0.55000000000000004">
      <c r="A61" s="63"/>
      <c r="B61" s="70"/>
      <c r="D61" s="27"/>
      <c r="E61" s="107"/>
      <c r="F61" s="107"/>
      <c r="G61" s="107"/>
      <c r="I61" s="35"/>
      <c r="K61" s="35"/>
      <c r="L61" s="70"/>
      <c r="M61" s="70"/>
      <c r="N61" s="70"/>
      <c r="O61" s="70"/>
      <c r="P61" s="70"/>
      <c r="Q61" s="70"/>
      <c r="R61" s="70"/>
      <c r="S61" s="63"/>
      <c r="T61" s="63"/>
      <c r="U61" s="63"/>
      <c r="V61" s="63"/>
      <c r="W61" s="63"/>
    </row>
    <row r="62" spans="1:23" ht="36" x14ac:dyDescent="0.55000000000000004">
      <c r="A62" s="63"/>
      <c r="B62" s="70"/>
      <c r="D62" s="41" t="s">
        <v>2</v>
      </c>
      <c r="E62" s="53" t="s">
        <v>55</v>
      </c>
      <c r="F62" s="53"/>
      <c r="G62" s="53"/>
      <c r="I62" s="30">
        <v>5</v>
      </c>
      <c r="K62" s="31">
        <v>-3</v>
      </c>
      <c r="L62" s="70"/>
      <c r="M62" s="70"/>
      <c r="N62" s="70"/>
      <c r="O62" s="70"/>
      <c r="P62" s="70"/>
      <c r="Q62" s="70"/>
      <c r="R62" s="70"/>
      <c r="S62" s="63"/>
      <c r="T62" s="63"/>
      <c r="U62" s="63"/>
      <c r="V62" s="63"/>
      <c r="W62" s="63"/>
    </row>
    <row r="63" spans="1:23" ht="36" x14ac:dyDescent="0.55000000000000004">
      <c r="A63" s="63"/>
      <c r="B63" s="70"/>
      <c r="D63" s="41"/>
      <c r="E63" s="53"/>
      <c r="F63" s="53"/>
      <c r="G63" s="53"/>
      <c r="I63" s="30">
        <v>-4</v>
      </c>
      <c r="K63" s="31">
        <v>7</v>
      </c>
      <c r="L63" s="70"/>
      <c r="M63" s="70"/>
      <c r="N63" s="70"/>
      <c r="O63" s="70"/>
      <c r="P63" s="70"/>
      <c r="Q63" s="70"/>
      <c r="R63" s="70"/>
      <c r="S63" s="63"/>
      <c r="T63" s="63"/>
      <c r="U63" s="63"/>
      <c r="V63" s="63"/>
      <c r="W63" s="63"/>
    </row>
    <row r="64" spans="1:23" ht="36" x14ac:dyDescent="0.55000000000000004">
      <c r="A64" s="63"/>
      <c r="B64" s="70"/>
      <c r="D64" s="27"/>
      <c r="E64" s="107"/>
      <c r="F64" s="107"/>
      <c r="G64" s="107"/>
      <c r="I64" s="35"/>
      <c r="K64" s="35"/>
      <c r="L64" s="70"/>
      <c r="M64" s="70"/>
      <c r="N64" s="70"/>
      <c r="O64" s="70"/>
      <c r="P64" s="70"/>
      <c r="Q64" s="70"/>
      <c r="R64" s="70"/>
      <c r="S64" s="63"/>
      <c r="T64" s="63"/>
      <c r="U64" s="63"/>
      <c r="V64" s="63"/>
      <c r="W64" s="63"/>
    </row>
    <row r="65" spans="1:23" ht="36" x14ac:dyDescent="0.55000000000000004">
      <c r="A65" s="63"/>
      <c r="B65" s="70"/>
      <c r="D65" s="27"/>
      <c r="E65" s="107"/>
      <c r="F65" s="107"/>
      <c r="G65" s="107"/>
      <c r="I65" s="35"/>
      <c r="K65" s="35"/>
      <c r="L65" s="70"/>
      <c r="M65" s="70"/>
      <c r="N65" s="70"/>
      <c r="O65" s="70"/>
      <c r="P65" s="70"/>
      <c r="Q65" s="70"/>
      <c r="R65" s="70"/>
      <c r="S65" s="63"/>
      <c r="T65" s="63"/>
      <c r="U65" s="63"/>
      <c r="V65" s="63"/>
      <c r="W65" s="63"/>
    </row>
    <row r="66" spans="1:23" ht="39" x14ac:dyDescent="0.55000000000000004">
      <c r="A66" s="63"/>
      <c r="B66" s="104" t="s">
        <v>54</v>
      </c>
      <c r="C66" s="94" t="s">
        <v>56</v>
      </c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63"/>
      <c r="U66" s="63"/>
      <c r="V66" s="63"/>
      <c r="W66" s="63"/>
    </row>
    <row r="67" spans="1:23" ht="36" x14ac:dyDescent="0.55000000000000004">
      <c r="A67" s="63"/>
      <c r="B67" s="70"/>
      <c r="D67" s="27"/>
      <c r="E67" s="107"/>
      <c r="F67" s="107"/>
      <c r="G67" s="107"/>
      <c r="I67" s="35"/>
      <c r="K67" s="35"/>
      <c r="L67" s="70"/>
      <c r="M67" s="70"/>
      <c r="N67" s="70"/>
      <c r="O67" s="70"/>
      <c r="P67" s="70"/>
      <c r="Q67" s="70"/>
      <c r="R67" s="70"/>
      <c r="S67" s="63"/>
      <c r="T67" s="63"/>
      <c r="U67" s="63"/>
      <c r="V67" s="63"/>
      <c r="W67" s="63"/>
    </row>
    <row r="68" spans="1:23" ht="36" x14ac:dyDescent="0.55000000000000004">
      <c r="A68" s="63"/>
      <c r="B68" s="70"/>
      <c r="C68" s="107" t="s">
        <v>57</v>
      </c>
      <c r="D68" s="27" t="s">
        <v>58</v>
      </c>
      <c r="E68" s="107" t="s">
        <v>59</v>
      </c>
      <c r="F68" s="107"/>
      <c r="G68" s="108" t="s">
        <v>60</v>
      </c>
      <c r="H68" s="108"/>
      <c r="I68" s="108"/>
      <c r="J68" s="108"/>
      <c r="K68" s="108"/>
      <c r="L68" s="70"/>
      <c r="M68" s="70"/>
      <c r="N68" s="70"/>
      <c r="O68" s="70"/>
      <c r="P68" s="70"/>
      <c r="Q68" s="70"/>
      <c r="R68" s="70"/>
      <c r="S68" s="63"/>
      <c r="T68" s="63"/>
      <c r="U68" s="63"/>
      <c r="V68" s="63"/>
      <c r="W68" s="63"/>
    </row>
    <row r="69" spans="1:23" ht="36" x14ac:dyDescent="0.55000000000000004">
      <c r="A69" s="63"/>
      <c r="B69" s="70"/>
      <c r="C69" s="26">
        <v>23</v>
      </c>
      <c r="D69" s="26">
        <v>1</v>
      </c>
      <c r="E69" s="32">
        <f>C69*D69</f>
        <v>23</v>
      </c>
      <c r="F69" s="107" t="s">
        <v>2</v>
      </c>
      <c r="G69" s="15">
        <f>MOD(E69,26)</f>
        <v>23</v>
      </c>
      <c r="I69" s="35"/>
      <c r="K69" s="35"/>
      <c r="L69" s="70"/>
      <c r="M69" s="70"/>
      <c r="N69" s="70"/>
      <c r="O69" s="70"/>
      <c r="P69" s="70"/>
      <c r="Q69" s="70"/>
      <c r="R69" s="70"/>
      <c r="S69" s="63"/>
      <c r="T69" s="63"/>
      <c r="U69" s="63"/>
      <c r="V69" s="63"/>
      <c r="W69" s="63"/>
    </row>
    <row r="70" spans="1:23" ht="36" x14ac:dyDescent="0.55000000000000004">
      <c r="A70" s="63"/>
      <c r="B70" s="70"/>
      <c r="C70" s="26">
        <v>23</v>
      </c>
      <c r="D70" s="26">
        <v>2</v>
      </c>
      <c r="E70" s="32">
        <f t="shared" ref="E70:E76" si="0">C70*D70</f>
        <v>46</v>
      </c>
      <c r="F70" s="107" t="s">
        <v>2</v>
      </c>
      <c r="G70" s="15">
        <f t="shared" ref="G70:G93" si="1">MOD(E70,26)</f>
        <v>20</v>
      </c>
      <c r="I70" s="35"/>
      <c r="K70" s="35"/>
      <c r="L70" s="70"/>
      <c r="M70" s="70"/>
      <c r="N70" s="70"/>
      <c r="O70" s="70"/>
      <c r="P70" s="70"/>
      <c r="Q70" s="70"/>
      <c r="R70" s="70"/>
      <c r="S70" s="63"/>
      <c r="T70" s="63"/>
      <c r="U70" s="63"/>
      <c r="V70" s="63"/>
      <c r="W70" s="63"/>
    </row>
    <row r="71" spans="1:23" ht="36" x14ac:dyDescent="0.55000000000000004">
      <c r="A71" s="63"/>
      <c r="B71" s="70"/>
      <c r="C71" s="26">
        <v>23</v>
      </c>
      <c r="D71" s="26">
        <v>3</v>
      </c>
      <c r="E71" s="32">
        <f t="shared" si="0"/>
        <v>69</v>
      </c>
      <c r="F71" s="107" t="s">
        <v>2</v>
      </c>
      <c r="G71" s="15">
        <f t="shared" si="1"/>
        <v>17</v>
      </c>
      <c r="I71" s="35"/>
      <c r="K71" s="35"/>
      <c r="L71" s="70"/>
      <c r="M71" s="70"/>
      <c r="N71" s="70"/>
      <c r="O71" s="70"/>
      <c r="P71" s="70"/>
      <c r="Q71" s="70"/>
      <c r="R71" s="70"/>
      <c r="S71" s="63"/>
      <c r="T71" s="63"/>
      <c r="U71" s="63"/>
      <c r="V71" s="63"/>
      <c r="W71" s="63"/>
    </row>
    <row r="72" spans="1:23" ht="36" x14ac:dyDescent="0.55000000000000004">
      <c r="A72" s="63"/>
      <c r="B72" s="70"/>
      <c r="C72" s="26">
        <v>23</v>
      </c>
      <c r="D72" s="26">
        <v>4</v>
      </c>
      <c r="E72" s="32">
        <f t="shared" si="0"/>
        <v>92</v>
      </c>
      <c r="F72" s="107" t="s">
        <v>2</v>
      </c>
      <c r="G72" s="15">
        <f t="shared" si="1"/>
        <v>14</v>
      </c>
      <c r="I72" s="35"/>
      <c r="K72" s="35"/>
      <c r="L72" s="70"/>
      <c r="M72" s="70"/>
      <c r="N72" s="70"/>
      <c r="O72" s="70"/>
      <c r="P72" s="70"/>
      <c r="Q72" s="70"/>
      <c r="R72" s="70"/>
      <c r="S72" s="63"/>
      <c r="T72" s="63"/>
      <c r="U72" s="63"/>
      <c r="V72" s="63"/>
      <c r="W72" s="63"/>
    </row>
    <row r="73" spans="1:23" ht="36" x14ac:dyDescent="0.55000000000000004">
      <c r="A73" s="63"/>
      <c r="B73" s="70"/>
      <c r="C73" s="26">
        <v>23</v>
      </c>
      <c r="D73" s="26">
        <v>5</v>
      </c>
      <c r="E73" s="32">
        <f t="shared" si="0"/>
        <v>115</v>
      </c>
      <c r="F73" s="107" t="s">
        <v>2</v>
      </c>
      <c r="G73" s="15">
        <f t="shared" si="1"/>
        <v>11</v>
      </c>
      <c r="I73" s="35"/>
      <c r="K73" s="35"/>
      <c r="L73" s="70"/>
      <c r="M73" s="70"/>
      <c r="N73" s="70"/>
      <c r="O73" s="70"/>
      <c r="P73" s="70"/>
      <c r="Q73" s="70"/>
      <c r="R73" s="70"/>
      <c r="S73" s="63"/>
      <c r="T73" s="63"/>
      <c r="U73" s="63"/>
      <c r="V73" s="63"/>
      <c r="W73" s="63"/>
    </row>
    <row r="74" spans="1:23" ht="36" x14ac:dyDescent="0.55000000000000004">
      <c r="A74" s="63"/>
      <c r="B74" s="70"/>
      <c r="C74" s="26">
        <v>23</v>
      </c>
      <c r="D74" s="26">
        <v>6</v>
      </c>
      <c r="E74" s="32">
        <f t="shared" si="0"/>
        <v>138</v>
      </c>
      <c r="F74" s="107" t="s">
        <v>2</v>
      </c>
      <c r="G74" s="15">
        <f t="shared" si="1"/>
        <v>8</v>
      </c>
      <c r="I74" s="35"/>
      <c r="K74" s="35"/>
      <c r="L74" s="70"/>
      <c r="M74" s="70"/>
      <c r="N74" s="70"/>
      <c r="O74" s="70"/>
      <c r="P74" s="70"/>
      <c r="Q74" s="70"/>
      <c r="R74" s="70"/>
      <c r="S74" s="63"/>
      <c r="T74" s="63"/>
      <c r="U74" s="63"/>
      <c r="V74" s="63"/>
      <c r="W74" s="63"/>
    </row>
    <row r="75" spans="1:23" ht="36" x14ac:dyDescent="0.55000000000000004">
      <c r="A75" s="63"/>
      <c r="B75" s="70"/>
      <c r="C75" s="26">
        <v>23</v>
      </c>
      <c r="D75" s="26">
        <v>7</v>
      </c>
      <c r="E75" s="32">
        <f t="shared" si="0"/>
        <v>161</v>
      </c>
      <c r="F75" s="107" t="s">
        <v>2</v>
      </c>
      <c r="G75" s="15">
        <f t="shared" si="1"/>
        <v>5</v>
      </c>
      <c r="I75" s="35"/>
      <c r="K75" s="35"/>
      <c r="L75" s="70"/>
      <c r="M75" s="70"/>
      <c r="N75" s="70"/>
      <c r="O75" s="70"/>
      <c r="P75" s="70"/>
      <c r="Q75" s="70"/>
      <c r="R75" s="70"/>
      <c r="S75" s="63"/>
      <c r="T75" s="63"/>
      <c r="U75" s="63"/>
      <c r="V75" s="63"/>
      <c r="W75" s="63"/>
    </row>
    <row r="76" spans="1:23" ht="36" x14ac:dyDescent="0.55000000000000004">
      <c r="A76" s="63"/>
      <c r="B76" s="70"/>
      <c r="C76" s="26">
        <v>23</v>
      </c>
      <c r="D76" s="26">
        <v>8</v>
      </c>
      <c r="E76" s="32">
        <f t="shared" si="0"/>
        <v>184</v>
      </c>
      <c r="F76" s="107" t="s">
        <v>2</v>
      </c>
      <c r="G76" s="15">
        <f t="shared" si="1"/>
        <v>2</v>
      </c>
      <c r="I76" s="35"/>
      <c r="K76" s="35"/>
      <c r="L76" s="70"/>
      <c r="M76" s="70"/>
      <c r="N76" s="70"/>
      <c r="O76" s="70"/>
      <c r="P76" s="70"/>
      <c r="Q76" s="70"/>
      <c r="R76" s="70"/>
      <c r="S76" s="63"/>
      <c r="T76" s="63"/>
      <c r="U76" s="63"/>
      <c r="V76" s="63"/>
      <c r="W76" s="63"/>
    </row>
    <row r="77" spans="1:23" ht="36" x14ac:dyDescent="0.55000000000000004">
      <c r="A77" s="63"/>
      <c r="B77" s="70"/>
      <c r="C77" s="26">
        <v>23</v>
      </c>
      <c r="D77" s="26">
        <v>9</v>
      </c>
      <c r="E77" s="32">
        <f t="shared" ref="E77:E93" si="2">C77*D77</f>
        <v>207</v>
      </c>
      <c r="F77" s="107" t="s">
        <v>2</v>
      </c>
      <c r="G77" s="15">
        <f t="shared" si="1"/>
        <v>25</v>
      </c>
      <c r="I77" s="35"/>
      <c r="K77" s="35"/>
      <c r="L77" s="70"/>
      <c r="M77" s="70"/>
      <c r="N77" s="70"/>
      <c r="O77" s="70"/>
      <c r="P77" s="70"/>
      <c r="Q77" s="70"/>
      <c r="R77" s="70"/>
      <c r="S77" s="63"/>
      <c r="T77" s="63"/>
      <c r="U77" s="63"/>
      <c r="V77" s="63"/>
      <c r="W77" s="63"/>
    </row>
    <row r="78" spans="1:23" ht="36" x14ac:dyDescent="0.55000000000000004">
      <c r="A78" s="63"/>
      <c r="B78" s="70"/>
      <c r="C78" s="26">
        <v>23</v>
      </c>
      <c r="D78" s="26">
        <v>10</v>
      </c>
      <c r="E78" s="32">
        <f t="shared" si="2"/>
        <v>230</v>
      </c>
      <c r="F78" s="107" t="s">
        <v>2</v>
      </c>
      <c r="G78" s="15">
        <f t="shared" si="1"/>
        <v>22</v>
      </c>
      <c r="I78" s="35"/>
      <c r="K78" s="35"/>
      <c r="L78" s="70"/>
      <c r="M78" s="70"/>
      <c r="N78" s="70"/>
      <c r="O78" s="70"/>
      <c r="P78" s="70"/>
      <c r="Q78" s="70"/>
      <c r="R78" s="70"/>
      <c r="S78" s="63"/>
      <c r="T78" s="63"/>
      <c r="U78" s="63"/>
      <c r="V78" s="63"/>
      <c r="W78" s="63"/>
    </row>
    <row r="79" spans="1:23" ht="36" x14ac:dyDescent="0.55000000000000004">
      <c r="A79" s="63"/>
      <c r="B79" s="70"/>
      <c r="C79" s="26">
        <v>23</v>
      </c>
      <c r="D79" s="26">
        <v>11</v>
      </c>
      <c r="E79" s="32">
        <f t="shared" si="2"/>
        <v>253</v>
      </c>
      <c r="F79" s="107" t="s">
        <v>2</v>
      </c>
      <c r="G79" s="15">
        <f t="shared" si="1"/>
        <v>19</v>
      </c>
      <c r="I79" s="35"/>
      <c r="K79" s="35"/>
      <c r="L79" s="70"/>
      <c r="M79" s="70"/>
      <c r="N79" s="70"/>
      <c r="O79" s="70"/>
      <c r="P79" s="70"/>
      <c r="Q79" s="70"/>
      <c r="R79" s="70"/>
      <c r="S79" s="63"/>
      <c r="T79" s="63"/>
      <c r="U79" s="63"/>
      <c r="V79" s="63"/>
      <c r="W79" s="63"/>
    </row>
    <row r="80" spans="1:23" ht="36" x14ac:dyDescent="0.55000000000000004">
      <c r="A80" s="63"/>
      <c r="B80" s="70"/>
      <c r="C80" s="26">
        <v>23</v>
      </c>
      <c r="D80" s="26">
        <v>12</v>
      </c>
      <c r="E80" s="32">
        <f t="shared" si="2"/>
        <v>276</v>
      </c>
      <c r="F80" s="107" t="s">
        <v>2</v>
      </c>
      <c r="G80" s="15">
        <f t="shared" si="1"/>
        <v>16</v>
      </c>
      <c r="I80" s="35"/>
      <c r="K80" s="35"/>
      <c r="L80" s="70"/>
      <c r="M80" s="70"/>
      <c r="N80" s="70"/>
      <c r="O80" s="70"/>
      <c r="P80" s="70"/>
      <c r="Q80" s="70"/>
      <c r="R80" s="70"/>
      <c r="S80" s="63"/>
      <c r="T80" s="63"/>
      <c r="U80" s="63"/>
      <c r="V80" s="63"/>
      <c r="W80" s="63"/>
    </row>
    <row r="81" spans="1:23" ht="36" x14ac:dyDescent="0.55000000000000004">
      <c r="A81" s="63"/>
      <c r="B81" s="70"/>
      <c r="C81" s="26">
        <v>23</v>
      </c>
      <c r="D81" s="26">
        <v>13</v>
      </c>
      <c r="E81" s="32">
        <f t="shared" si="2"/>
        <v>299</v>
      </c>
      <c r="F81" s="107" t="s">
        <v>2</v>
      </c>
      <c r="G81" s="15">
        <f t="shared" si="1"/>
        <v>13</v>
      </c>
      <c r="I81" s="35"/>
      <c r="K81" s="35"/>
      <c r="L81" s="70"/>
      <c r="M81" s="70"/>
      <c r="N81" s="70"/>
      <c r="O81" s="70"/>
      <c r="P81" s="70"/>
      <c r="Q81" s="70"/>
      <c r="R81" s="70"/>
      <c r="S81" s="63"/>
      <c r="T81" s="63"/>
      <c r="U81" s="63"/>
      <c r="V81" s="63"/>
      <c r="W81" s="63"/>
    </row>
    <row r="82" spans="1:23" ht="36" x14ac:dyDescent="0.55000000000000004">
      <c r="A82" s="63"/>
      <c r="B82" s="70"/>
      <c r="C82" s="26">
        <v>23</v>
      </c>
      <c r="D82" s="26">
        <v>14</v>
      </c>
      <c r="E82" s="32">
        <f t="shared" si="2"/>
        <v>322</v>
      </c>
      <c r="F82" s="107" t="s">
        <v>2</v>
      </c>
      <c r="G82" s="15">
        <f t="shared" si="1"/>
        <v>10</v>
      </c>
      <c r="I82" s="35"/>
      <c r="K82" s="35"/>
      <c r="L82" s="70"/>
      <c r="M82" s="70"/>
      <c r="N82" s="70"/>
      <c r="O82" s="70"/>
      <c r="P82" s="70"/>
      <c r="Q82" s="70"/>
      <c r="R82" s="70"/>
      <c r="S82" s="63"/>
      <c r="T82" s="63"/>
      <c r="U82" s="63"/>
      <c r="V82" s="63"/>
      <c r="W82" s="63"/>
    </row>
    <row r="83" spans="1:23" ht="36" x14ac:dyDescent="0.55000000000000004">
      <c r="A83" s="63"/>
      <c r="B83" s="70"/>
      <c r="C83" s="26">
        <v>23</v>
      </c>
      <c r="D83" s="26">
        <v>15</v>
      </c>
      <c r="E83" s="32">
        <f t="shared" si="2"/>
        <v>345</v>
      </c>
      <c r="F83" s="107" t="s">
        <v>2</v>
      </c>
      <c r="G83" s="15">
        <f t="shared" si="1"/>
        <v>7</v>
      </c>
      <c r="I83" s="35"/>
      <c r="K83" s="35"/>
      <c r="L83" s="70"/>
      <c r="M83" s="70"/>
      <c r="N83" s="70"/>
      <c r="O83" s="70"/>
      <c r="P83" s="70"/>
      <c r="Q83" s="70"/>
      <c r="R83" s="70"/>
      <c r="S83" s="63"/>
      <c r="T83" s="63"/>
      <c r="U83" s="63"/>
      <c r="V83" s="63"/>
      <c r="W83" s="63"/>
    </row>
    <row r="84" spans="1:23" ht="36" x14ac:dyDescent="0.55000000000000004">
      <c r="A84" s="63"/>
      <c r="B84" s="70"/>
      <c r="C84" s="26">
        <v>23</v>
      </c>
      <c r="D84" s="26">
        <v>16</v>
      </c>
      <c r="E84" s="32">
        <f t="shared" si="2"/>
        <v>368</v>
      </c>
      <c r="F84" s="107" t="s">
        <v>2</v>
      </c>
      <c r="G84" s="15">
        <f t="shared" si="1"/>
        <v>4</v>
      </c>
      <c r="I84" s="35"/>
      <c r="K84" s="35"/>
      <c r="L84" s="70"/>
      <c r="M84" s="70"/>
      <c r="N84" s="70"/>
      <c r="O84" s="70"/>
      <c r="P84" s="70"/>
      <c r="Q84" s="70"/>
      <c r="R84" s="70"/>
      <c r="S84" s="63"/>
      <c r="T84" s="63"/>
      <c r="U84" s="63"/>
      <c r="V84" s="63"/>
      <c r="W84" s="63"/>
    </row>
    <row r="85" spans="1:23" ht="36" x14ac:dyDescent="0.55000000000000004">
      <c r="A85" s="63"/>
      <c r="B85" s="70"/>
      <c r="C85" s="109">
        <v>23</v>
      </c>
      <c r="D85" s="33">
        <v>17</v>
      </c>
      <c r="E85" s="110">
        <f t="shared" si="2"/>
        <v>391</v>
      </c>
      <c r="F85" s="111" t="s">
        <v>2</v>
      </c>
      <c r="G85" s="33">
        <f t="shared" si="1"/>
        <v>1</v>
      </c>
      <c r="I85" s="35"/>
      <c r="K85" s="35"/>
      <c r="L85" s="70"/>
      <c r="M85" s="70"/>
      <c r="N85" s="70"/>
      <c r="O85" s="70"/>
      <c r="P85" s="70"/>
      <c r="Q85" s="70"/>
      <c r="R85" s="70"/>
      <c r="S85" s="63"/>
      <c r="T85" s="63"/>
      <c r="U85" s="63"/>
      <c r="V85" s="63"/>
      <c r="W85" s="63"/>
    </row>
    <row r="86" spans="1:23" ht="36" x14ac:dyDescent="0.55000000000000004">
      <c r="A86" s="63"/>
      <c r="B86" s="70"/>
      <c r="C86" s="26">
        <v>23</v>
      </c>
      <c r="D86" s="26">
        <v>18</v>
      </c>
      <c r="E86" s="32">
        <f t="shared" si="2"/>
        <v>414</v>
      </c>
      <c r="F86" s="107" t="s">
        <v>2</v>
      </c>
      <c r="G86" s="15">
        <f t="shared" si="1"/>
        <v>24</v>
      </c>
      <c r="I86" s="35"/>
      <c r="K86" s="35"/>
      <c r="L86" s="70"/>
      <c r="M86" s="70"/>
      <c r="N86" s="70"/>
      <c r="O86" s="70"/>
      <c r="P86" s="70"/>
      <c r="Q86" s="70"/>
      <c r="R86" s="70"/>
      <c r="S86" s="63"/>
      <c r="T86" s="63"/>
      <c r="U86" s="63"/>
      <c r="V86" s="63"/>
      <c r="W86" s="63"/>
    </row>
    <row r="87" spans="1:23" ht="36" x14ac:dyDescent="0.55000000000000004">
      <c r="A87" s="63"/>
      <c r="B87" s="70"/>
      <c r="C87" s="26">
        <v>23</v>
      </c>
      <c r="D87" s="26">
        <v>19</v>
      </c>
      <c r="E87" s="32">
        <f t="shared" si="2"/>
        <v>437</v>
      </c>
      <c r="F87" s="107" t="s">
        <v>2</v>
      </c>
      <c r="G87" s="15">
        <f t="shared" si="1"/>
        <v>21</v>
      </c>
      <c r="I87" s="35"/>
      <c r="K87" s="35"/>
      <c r="L87" s="70"/>
      <c r="M87" s="70"/>
      <c r="N87" s="70"/>
      <c r="O87" s="70"/>
      <c r="P87" s="70"/>
      <c r="Q87" s="70"/>
      <c r="R87" s="70"/>
      <c r="S87" s="63"/>
      <c r="T87" s="63"/>
      <c r="U87" s="63"/>
      <c r="V87" s="63"/>
      <c r="W87" s="63"/>
    </row>
    <row r="88" spans="1:23" ht="36" x14ac:dyDescent="0.55000000000000004">
      <c r="A88" s="63"/>
      <c r="B88" s="70"/>
      <c r="C88" s="26">
        <v>23</v>
      </c>
      <c r="D88" s="26">
        <v>20</v>
      </c>
      <c r="E88" s="32">
        <f t="shared" si="2"/>
        <v>460</v>
      </c>
      <c r="F88" s="107" t="s">
        <v>2</v>
      </c>
      <c r="G88" s="15">
        <f t="shared" si="1"/>
        <v>18</v>
      </c>
      <c r="I88" s="35"/>
      <c r="K88" s="35"/>
      <c r="L88" s="70"/>
      <c r="M88" s="70"/>
      <c r="N88" s="70"/>
      <c r="O88" s="70"/>
      <c r="P88" s="70"/>
      <c r="Q88" s="70"/>
      <c r="R88" s="70"/>
      <c r="S88" s="63"/>
      <c r="T88" s="63"/>
      <c r="U88" s="63"/>
      <c r="V88" s="63"/>
      <c r="W88" s="63"/>
    </row>
    <row r="89" spans="1:23" ht="36" x14ac:dyDescent="0.55000000000000004">
      <c r="A89" s="63"/>
      <c r="B89" s="70"/>
      <c r="C89" s="26">
        <v>23</v>
      </c>
      <c r="D89" s="26">
        <v>21</v>
      </c>
      <c r="E89" s="32">
        <f t="shared" si="2"/>
        <v>483</v>
      </c>
      <c r="F89" s="107" t="s">
        <v>2</v>
      </c>
      <c r="G89" s="15">
        <f t="shared" si="1"/>
        <v>15</v>
      </c>
      <c r="I89" s="35"/>
      <c r="K89" s="35"/>
      <c r="L89" s="70"/>
      <c r="M89" s="70"/>
      <c r="N89" s="70"/>
      <c r="O89" s="70"/>
      <c r="P89" s="70"/>
      <c r="Q89" s="70"/>
      <c r="R89" s="70"/>
      <c r="S89" s="63"/>
      <c r="T89" s="63"/>
      <c r="U89" s="63"/>
      <c r="V89" s="63"/>
      <c r="W89" s="63"/>
    </row>
    <row r="90" spans="1:23" ht="36" x14ac:dyDescent="0.55000000000000004">
      <c r="A90" s="63"/>
      <c r="B90" s="70"/>
      <c r="C90" s="26">
        <v>23</v>
      </c>
      <c r="D90" s="26">
        <v>22</v>
      </c>
      <c r="E90" s="32">
        <f t="shared" si="2"/>
        <v>506</v>
      </c>
      <c r="F90" s="107" t="s">
        <v>2</v>
      </c>
      <c r="G90" s="15">
        <f t="shared" si="1"/>
        <v>12</v>
      </c>
      <c r="I90" s="35"/>
      <c r="K90" s="35"/>
      <c r="L90" s="70"/>
      <c r="M90" s="70"/>
      <c r="N90" s="70"/>
      <c r="O90" s="70"/>
      <c r="P90" s="70"/>
      <c r="Q90" s="70"/>
      <c r="R90" s="70"/>
      <c r="S90" s="63"/>
      <c r="T90" s="63"/>
      <c r="U90" s="63"/>
      <c r="V90" s="63"/>
      <c r="W90" s="63"/>
    </row>
    <row r="91" spans="1:23" ht="36" x14ac:dyDescent="0.55000000000000004">
      <c r="A91" s="63"/>
      <c r="B91" s="70"/>
      <c r="C91" s="26">
        <v>23</v>
      </c>
      <c r="D91" s="26">
        <v>23</v>
      </c>
      <c r="E91" s="32">
        <f t="shared" si="2"/>
        <v>529</v>
      </c>
      <c r="F91" s="107" t="s">
        <v>2</v>
      </c>
      <c r="G91" s="15">
        <f t="shared" si="1"/>
        <v>9</v>
      </c>
      <c r="I91" s="35"/>
      <c r="K91" s="35"/>
      <c r="L91" s="70"/>
      <c r="M91" s="70"/>
      <c r="N91" s="70"/>
      <c r="O91" s="70"/>
      <c r="P91" s="70"/>
      <c r="Q91" s="70"/>
      <c r="R91" s="70"/>
      <c r="S91" s="63"/>
      <c r="T91" s="63"/>
      <c r="U91" s="63"/>
      <c r="V91" s="63"/>
      <c r="W91" s="63"/>
    </row>
    <row r="92" spans="1:23" ht="36" x14ac:dyDescent="0.55000000000000004">
      <c r="A92" s="63"/>
      <c r="B92" s="70"/>
      <c r="C92" s="26">
        <v>23</v>
      </c>
      <c r="D92" s="26">
        <v>24</v>
      </c>
      <c r="E92" s="32">
        <f t="shared" si="2"/>
        <v>552</v>
      </c>
      <c r="F92" s="107" t="s">
        <v>2</v>
      </c>
      <c r="G92" s="15">
        <f t="shared" si="1"/>
        <v>6</v>
      </c>
      <c r="I92" s="35"/>
      <c r="K92" s="35"/>
      <c r="L92" s="70"/>
      <c r="M92" s="70"/>
      <c r="N92" s="70"/>
      <c r="O92" s="70"/>
      <c r="P92" s="70"/>
      <c r="Q92" s="70"/>
      <c r="R92" s="70"/>
      <c r="S92" s="63"/>
      <c r="T92" s="63"/>
      <c r="U92" s="63"/>
      <c r="V92" s="63"/>
      <c r="W92" s="63"/>
    </row>
    <row r="93" spans="1:23" ht="36" x14ac:dyDescent="0.55000000000000004">
      <c r="A93" s="63"/>
      <c r="B93" s="70"/>
      <c r="C93" s="26">
        <v>23</v>
      </c>
      <c r="D93" s="26">
        <v>25</v>
      </c>
      <c r="E93" s="32">
        <f t="shared" si="2"/>
        <v>575</v>
      </c>
      <c r="F93" s="107" t="s">
        <v>2</v>
      </c>
      <c r="G93" s="15">
        <f t="shared" si="1"/>
        <v>3</v>
      </c>
      <c r="I93" s="35"/>
      <c r="K93" s="35"/>
      <c r="L93" s="70"/>
      <c r="M93" s="70"/>
      <c r="N93" s="70"/>
      <c r="O93" s="70"/>
      <c r="P93" s="70"/>
      <c r="Q93" s="70"/>
      <c r="R93" s="70"/>
      <c r="S93" s="63"/>
      <c r="T93" s="63"/>
      <c r="U93" s="63"/>
      <c r="V93" s="63"/>
      <c r="W93" s="63"/>
    </row>
    <row r="94" spans="1:23" ht="36" x14ac:dyDescent="0.55000000000000004">
      <c r="A94" s="63"/>
      <c r="B94" s="70"/>
      <c r="D94" s="27"/>
      <c r="E94" s="107"/>
      <c r="F94" s="107"/>
      <c r="G94" s="107"/>
      <c r="I94" s="35"/>
      <c r="K94" s="35"/>
      <c r="L94" s="70"/>
      <c r="M94" s="70"/>
      <c r="N94" s="70"/>
      <c r="O94" s="70"/>
      <c r="P94" s="70"/>
      <c r="Q94" s="70"/>
      <c r="R94" s="70"/>
      <c r="S94" s="63"/>
      <c r="T94" s="63"/>
      <c r="U94" s="63"/>
      <c r="V94" s="63"/>
      <c r="W94" s="63"/>
    </row>
    <row r="95" spans="1:23" ht="39" x14ac:dyDescent="0.55000000000000004">
      <c r="A95" s="63"/>
      <c r="B95" s="70"/>
      <c r="C95" s="98" t="s">
        <v>61</v>
      </c>
      <c r="D95" s="98"/>
      <c r="E95" s="98"/>
      <c r="F95" s="98"/>
      <c r="G95" s="98"/>
      <c r="H95" s="98"/>
      <c r="I95" s="98"/>
      <c r="J95" s="98"/>
      <c r="K95" s="97"/>
      <c r="L95" s="97"/>
      <c r="M95" s="97"/>
      <c r="N95" s="97"/>
      <c r="O95" s="97"/>
      <c r="P95" s="97"/>
      <c r="Q95" s="97"/>
      <c r="R95" s="97"/>
      <c r="S95" s="97"/>
      <c r="T95" s="63"/>
      <c r="U95" s="63"/>
      <c r="V95" s="63"/>
      <c r="W95" s="63"/>
    </row>
    <row r="96" spans="1:23" ht="36" x14ac:dyDescent="0.55000000000000004">
      <c r="A96" s="63"/>
      <c r="B96" s="70"/>
      <c r="D96" s="27"/>
      <c r="E96" s="107"/>
      <c r="F96" s="107"/>
      <c r="G96" s="107"/>
      <c r="I96" s="35"/>
      <c r="K96" s="35"/>
      <c r="L96" s="70"/>
      <c r="M96" s="70"/>
      <c r="N96" s="70"/>
      <c r="O96" s="70"/>
      <c r="P96" s="70"/>
      <c r="Q96" s="70"/>
      <c r="R96" s="70"/>
      <c r="S96" s="63"/>
      <c r="T96" s="63"/>
      <c r="U96" s="63"/>
      <c r="V96" s="63"/>
      <c r="W96" s="63"/>
    </row>
    <row r="97" spans="1:23" ht="36" x14ac:dyDescent="0.55000000000000004">
      <c r="A97" s="63"/>
      <c r="B97" s="70"/>
      <c r="C97" s="94" t="s">
        <v>62</v>
      </c>
      <c r="D97" s="94"/>
      <c r="E97" s="94"/>
      <c r="F97" s="97"/>
      <c r="G97" s="97"/>
      <c r="H97" s="97"/>
      <c r="I97" s="97"/>
      <c r="J97" s="97"/>
      <c r="K97" s="35"/>
      <c r="L97" s="70"/>
      <c r="M97" s="70"/>
      <c r="N97" s="70"/>
      <c r="O97" s="70"/>
      <c r="P97" s="70"/>
      <c r="Q97" s="70"/>
      <c r="R97" s="70"/>
      <c r="S97" s="63"/>
      <c r="T97" s="63"/>
      <c r="U97" s="63"/>
      <c r="V97" s="63"/>
      <c r="W97" s="63"/>
    </row>
    <row r="98" spans="1:23" ht="36" x14ac:dyDescent="0.55000000000000004">
      <c r="A98" s="63"/>
      <c r="B98" s="70"/>
      <c r="D98" s="27"/>
      <c r="E98" s="107"/>
      <c r="F98" s="107"/>
      <c r="G98" s="107"/>
      <c r="I98" s="35"/>
      <c r="K98" s="35"/>
      <c r="L98" s="70"/>
      <c r="M98" s="70"/>
      <c r="N98" s="70"/>
      <c r="O98" s="70"/>
      <c r="P98" s="70"/>
      <c r="Q98" s="70"/>
      <c r="R98" s="70"/>
      <c r="S98" s="63"/>
      <c r="T98" s="63"/>
      <c r="U98" s="63"/>
      <c r="V98" s="63"/>
      <c r="W98" s="63"/>
    </row>
    <row r="99" spans="1:23" ht="36" x14ac:dyDescent="0.55000000000000004">
      <c r="A99" s="63"/>
      <c r="B99" s="70"/>
      <c r="C99" s="42" t="s">
        <v>53</v>
      </c>
      <c r="D99" s="41" t="s">
        <v>2</v>
      </c>
      <c r="E99" s="53" t="s">
        <v>55</v>
      </c>
      <c r="F99" s="53"/>
      <c r="G99" s="53"/>
      <c r="I99" s="30">
        <v>5</v>
      </c>
      <c r="K99" s="31">
        <v>-3</v>
      </c>
      <c r="L99" s="70"/>
      <c r="M99" s="70"/>
      <c r="N99" s="70"/>
      <c r="O99" s="70"/>
      <c r="P99" s="70"/>
      <c r="Q99" s="70"/>
      <c r="R99" s="70"/>
      <c r="S99" s="63"/>
      <c r="T99" s="63"/>
      <c r="U99" s="63"/>
      <c r="V99" s="63"/>
      <c r="W99" s="63"/>
    </row>
    <row r="100" spans="1:23" ht="36" x14ac:dyDescent="0.55000000000000004">
      <c r="A100" s="63"/>
      <c r="B100" s="70"/>
      <c r="C100" s="42"/>
      <c r="D100" s="41"/>
      <c r="E100" s="53"/>
      <c r="F100" s="53"/>
      <c r="G100" s="53"/>
      <c r="I100" s="30">
        <v>-4</v>
      </c>
      <c r="K100" s="31">
        <v>7</v>
      </c>
      <c r="L100" s="70"/>
      <c r="M100" s="70"/>
      <c r="N100" s="70"/>
      <c r="O100" s="70"/>
      <c r="P100" s="70"/>
      <c r="Q100" s="70"/>
      <c r="R100" s="70"/>
      <c r="S100" s="63"/>
      <c r="T100" s="63"/>
      <c r="U100" s="63"/>
      <c r="V100" s="63"/>
      <c r="W100" s="63"/>
    </row>
    <row r="101" spans="1:23" ht="36" x14ac:dyDescent="0.55000000000000004">
      <c r="A101" s="63"/>
      <c r="B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63"/>
      <c r="T101" s="63"/>
      <c r="U101" s="63"/>
      <c r="V101" s="63"/>
      <c r="W101" s="63"/>
    </row>
    <row r="102" spans="1:23" ht="36" x14ac:dyDescent="0.55000000000000004">
      <c r="A102" s="63"/>
      <c r="B102" s="70"/>
      <c r="C102" s="26"/>
      <c r="D102" s="41" t="s">
        <v>2</v>
      </c>
      <c r="E102" s="53">
        <v>17</v>
      </c>
      <c r="F102" s="112"/>
      <c r="G102" s="30">
        <v>5</v>
      </c>
      <c r="I102" s="31">
        <v>-3</v>
      </c>
      <c r="L102" s="70"/>
      <c r="M102" s="70"/>
      <c r="N102" s="70"/>
      <c r="O102" s="70"/>
      <c r="P102" s="70"/>
      <c r="Q102" s="70"/>
      <c r="R102" s="70"/>
      <c r="S102" s="63"/>
      <c r="T102" s="63"/>
      <c r="U102" s="63"/>
      <c r="V102" s="63"/>
      <c r="W102" s="63"/>
    </row>
    <row r="103" spans="1:23" ht="36" x14ac:dyDescent="0.55000000000000004">
      <c r="A103" s="63"/>
      <c r="B103" s="70"/>
      <c r="D103" s="41"/>
      <c r="E103" s="53"/>
      <c r="F103" s="112"/>
      <c r="G103" s="30">
        <v>-4</v>
      </c>
      <c r="I103" s="31">
        <v>7</v>
      </c>
      <c r="L103" s="70"/>
      <c r="M103" s="70"/>
      <c r="N103" s="70"/>
      <c r="O103" s="70"/>
      <c r="P103" s="70"/>
      <c r="Q103" s="70"/>
      <c r="R103" s="70"/>
      <c r="S103" s="63"/>
      <c r="T103" s="63"/>
      <c r="U103" s="63"/>
      <c r="V103" s="63"/>
      <c r="W103" s="63"/>
    </row>
    <row r="104" spans="1:23" ht="36" x14ac:dyDescent="0.55000000000000004">
      <c r="A104" s="63"/>
      <c r="B104" s="70"/>
      <c r="D104" s="27"/>
      <c r="E104" s="107"/>
      <c r="F104" s="107"/>
      <c r="G104" s="107"/>
      <c r="I104" s="35"/>
      <c r="K104" s="35"/>
      <c r="L104" s="70"/>
      <c r="M104" s="70"/>
      <c r="N104" s="70"/>
      <c r="O104" s="70"/>
      <c r="P104" s="70"/>
      <c r="Q104" s="70"/>
      <c r="R104" s="70"/>
      <c r="S104" s="63"/>
      <c r="T104" s="63"/>
      <c r="U104" s="63"/>
      <c r="V104" s="63"/>
      <c r="W104" s="63"/>
    </row>
    <row r="105" spans="1:23" ht="36" x14ac:dyDescent="0.55000000000000004">
      <c r="A105" s="63"/>
      <c r="B105" s="70"/>
      <c r="D105" s="41" t="s">
        <v>2</v>
      </c>
      <c r="E105" s="30">
        <v>85</v>
      </c>
      <c r="G105" s="31">
        <v>-51</v>
      </c>
      <c r="L105" s="70"/>
      <c r="M105" s="70"/>
      <c r="N105" s="70"/>
      <c r="O105" s="70"/>
      <c r="P105" s="70"/>
      <c r="Q105" s="70"/>
      <c r="R105" s="70"/>
      <c r="S105" s="63"/>
      <c r="T105" s="63"/>
      <c r="U105" s="63"/>
      <c r="V105" s="63"/>
      <c r="W105" s="63"/>
    </row>
    <row r="106" spans="1:23" ht="36" x14ac:dyDescent="0.55000000000000004">
      <c r="A106" s="63"/>
      <c r="B106" s="70"/>
      <c r="D106" s="41"/>
      <c r="E106" s="30">
        <v>-68</v>
      </c>
      <c r="G106" s="31">
        <v>119</v>
      </c>
      <c r="L106" s="70"/>
      <c r="M106" s="70"/>
      <c r="N106" s="70"/>
      <c r="O106" s="70"/>
      <c r="P106" s="70"/>
      <c r="Q106" s="70"/>
      <c r="R106" s="70"/>
      <c r="S106" s="63"/>
      <c r="T106" s="63"/>
      <c r="U106" s="63"/>
      <c r="V106" s="63"/>
      <c r="W106" s="63"/>
    </row>
    <row r="107" spans="1:23" ht="36" x14ac:dyDescent="0.55000000000000004">
      <c r="A107" s="63"/>
      <c r="B107" s="70"/>
      <c r="D107" s="27"/>
      <c r="E107" s="107"/>
      <c r="F107" s="107"/>
      <c r="G107" s="107"/>
      <c r="I107" s="35"/>
      <c r="K107" s="35"/>
      <c r="L107" s="70"/>
      <c r="M107" s="70"/>
      <c r="N107" s="70"/>
      <c r="O107" s="70"/>
      <c r="P107" s="70"/>
      <c r="Q107" s="70"/>
      <c r="R107" s="70"/>
      <c r="S107" s="63"/>
      <c r="T107" s="63"/>
      <c r="U107" s="63"/>
      <c r="V107" s="63"/>
      <c r="W107" s="63"/>
    </row>
    <row r="108" spans="1:23" ht="36" x14ac:dyDescent="0.55000000000000004">
      <c r="A108" s="63"/>
      <c r="B108" s="70"/>
      <c r="D108" s="41" t="s">
        <v>2</v>
      </c>
      <c r="E108" s="86" t="s">
        <v>63</v>
      </c>
      <c r="F108" s="37"/>
      <c r="G108" s="37"/>
      <c r="I108" s="35"/>
      <c r="K108" s="115" t="s">
        <v>65</v>
      </c>
      <c r="L108" s="115"/>
      <c r="M108" s="115"/>
      <c r="N108" s="115"/>
      <c r="O108" s="115"/>
      <c r="P108" s="70"/>
      <c r="Q108" s="70"/>
      <c r="R108" s="70"/>
      <c r="S108" s="63"/>
      <c r="T108" s="63"/>
      <c r="U108" s="63"/>
      <c r="V108" s="63"/>
      <c r="W108" s="63"/>
    </row>
    <row r="109" spans="1:23" ht="36" x14ac:dyDescent="0.55000000000000004">
      <c r="A109" s="63"/>
      <c r="B109" s="70"/>
      <c r="D109" s="41"/>
      <c r="E109" s="113" t="s">
        <v>64</v>
      </c>
      <c r="F109" s="37"/>
      <c r="G109" s="37"/>
      <c r="I109" s="35"/>
      <c r="K109" s="114" t="s">
        <v>66</v>
      </c>
      <c r="L109" s="114"/>
      <c r="M109" s="114"/>
      <c r="N109" s="114"/>
      <c r="O109" s="114"/>
      <c r="P109" s="70"/>
      <c r="Q109" s="70"/>
      <c r="R109" s="70"/>
      <c r="S109" s="63"/>
      <c r="T109" s="63"/>
      <c r="U109" s="63"/>
      <c r="V109" s="63"/>
      <c r="W109" s="63"/>
    </row>
    <row r="110" spans="1:23" ht="36" x14ac:dyDescent="0.55000000000000004">
      <c r="A110" s="63"/>
      <c r="B110" s="70"/>
      <c r="D110" s="27"/>
      <c r="E110" s="107"/>
      <c r="F110" s="107"/>
      <c r="G110" s="107"/>
      <c r="I110" s="35"/>
      <c r="K110" s="35"/>
      <c r="L110" s="70"/>
      <c r="M110" s="70"/>
      <c r="N110" s="70"/>
      <c r="O110" s="70"/>
      <c r="P110" s="70"/>
      <c r="Q110" s="70"/>
      <c r="R110" s="70"/>
      <c r="S110" s="63"/>
      <c r="T110" s="63"/>
      <c r="U110" s="63"/>
      <c r="V110" s="63"/>
      <c r="W110" s="63"/>
    </row>
    <row r="111" spans="1:23" ht="36" x14ac:dyDescent="0.55000000000000004">
      <c r="A111" s="63"/>
      <c r="B111" s="70"/>
      <c r="D111" s="41" t="s">
        <v>2</v>
      </c>
      <c r="E111" s="30">
        <v>7</v>
      </c>
      <c r="G111" s="31">
        <v>1</v>
      </c>
      <c r="I111" s="35"/>
      <c r="K111" s="35"/>
      <c r="L111" s="70"/>
      <c r="M111" s="70"/>
      <c r="N111" s="70"/>
      <c r="O111" s="70"/>
      <c r="P111" s="70"/>
      <c r="Q111" s="70"/>
      <c r="R111" s="70"/>
      <c r="S111" s="63"/>
      <c r="T111" s="63"/>
      <c r="U111" s="63"/>
      <c r="V111" s="63"/>
      <c r="W111" s="63"/>
    </row>
    <row r="112" spans="1:23" ht="36" x14ac:dyDescent="0.55000000000000004">
      <c r="A112" s="63"/>
      <c r="B112" s="70"/>
      <c r="D112" s="41"/>
      <c r="E112" s="30">
        <v>10</v>
      </c>
      <c r="G112" s="31">
        <v>15</v>
      </c>
      <c r="I112" s="35"/>
      <c r="K112" s="35"/>
      <c r="L112" s="70"/>
      <c r="M112" s="70"/>
      <c r="N112" s="70"/>
      <c r="O112" s="70"/>
      <c r="P112" s="70"/>
      <c r="Q112" s="70"/>
      <c r="R112" s="70"/>
      <c r="S112" s="63"/>
      <c r="T112" s="63"/>
      <c r="U112" s="63"/>
      <c r="V112" s="63"/>
      <c r="W112" s="63"/>
    </row>
    <row r="113" spans="1:23" ht="36" x14ac:dyDescent="0.55000000000000004">
      <c r="A113" s="63"/>
      <c r="B113" s="70"/>
      <c r="D113" s="27"/>
      <c r="E113" s="35"/>
      <c r="G113" s="35"/>
      <c r="I113" s="35"/>
      <c r="K113" s="35"/>
      <c r="L113" s="70"/>
      <c r="M113" s="70"/>
      <c r="N113" s="70"/>
      <c r="O113" s="70"/>
      <c r="P113" s="70"/>
      <c r="Q113" s="70"/>
      <c r="R113" s="70"/>
      <c r="S113" s="63"/>
      <c r="T113" s="63"/>
      <c r="U113" s="63"/>
      <c r="V113" s="63"/>
      <c r="W113" s="63"/>
    </row>
    <row r="114" spans="1:23" ht="36" x14ac:dyDescent="0.55000000000000004">
      <c r="A114" s="63"/>
      <c r="B114" s="70"/>
      <c r="C114" s="42" t="s">
        <v>53</v>
      </c>
      <c r="D114" s="41" t="s">
        <v>2</v>
      </c>
      <c r="E114" s="30">
        <v>7</v>
      </c>
      <c r="G114" s="31">
        <v>1</v>
      </c>
      <c r="I114" s="35"/>
      <c r="K114" s="35"/>
      <c r="L114" s="70"/>
      <c r="M114" s="70"/>
      <c r="N114" s="70"/>
      <c r="O114" s="70"/>
      <c r="P114" s="70"/>
      <c r="Q114" s="70"/>
      <c r="R114" s="70"/>
      <c r="S114" s="63"/>
      <c r="T114" s="63"/>
      <c r="U114" s="63"/>
      <c r="V114" s="63"/>
      <c r="W114" s="63"/>
    </row>
    <row r="115" spans="1:23" ht="36" x14ac:dyDescent="0.55000000000000004">
      <c r="A115" s="63"/>
      <c r="B115" s="70"/>
      <c r="C115" s="42"/>
      <c r="D115" s="41"/>
      <c r="E115" s="30">
        <v>10</v>
      </c>
      <c r="G115" s="31">
        <v>15</v>
      </c>
      <c r="I115" s="35"/>
      <c r="K115" s="35"/>
      <c r="L115" s="70"/>
      <c r="M115" s="70"/>
      <c r="N115" s="70"/>
      <c r="O115" s="70"/>
      <c r="P115" s="70"/>
      <c r="Q115" s="70"/>
      <c r="R115" s="70"/>
      <c r="S115" s="63"/>
      <c r="T115" s="63"/>
      <c r="U115" s="63"/>
      <c r="V115" s="63"/>
      <c r="W115" s="63"/>
    </row>
    <row r="116" spans="1:23" ht="36" x14ac:dyDescent="0.55000000000000004">
      <c r="A116" s="63"/>
      <c r="B116" s="70"/>
      <c r="C116" s="28"/>
      <c r="D116" s="27"/>
      <c r="E116" s="35"/>
      <c r="G116" s="35"/>
      <c r="I116" s="35"/>
      <c r="K116" s="35"/>
      <c r="L116" s="70"/>
      <c r="M116" s="70"/>
      <c r="N116" s="70"/>
      <c r="O116" s="70"/>
      <c r="P116" s="70"/>
      <c r="Q116" s="70"/>
      <c r="R116" s="70"/>
      <c r="S116" s="63"/>
      <c r="T116" s="63"/>
      <c r="U116" s="63"/>
      <c r="V116" s="63"/>
      <c r="W116" s="63"/>
    </row>
    <row r="117" spans="1:23" ht="41.25" x14ac:dyDescent="0.55000000000000004">
      <c r="A117" s="63"/>
      <c r="B117" s="70"/>
      <c r="C117" s="116" t="s">
        <v>67</v>
      </c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70"/>
      <c r="S117" s="63"/>
      <c r="T117" s="63"/>
      <c r="U117" s="63"/>
      <c r="V117" s="63"/>
      <c r="W117" s="63"/>
    </row>
    <row r="118" spans="1:23" ht="36" x14ac:dyDescent="0.55000000000000004">
      <c r="A118" s="63"/>
      <c r="B118" s="70"/>
      <c r="C118" s="117" t="s">
        <v>47</v>
      </c>
      <c r="D118" s="117"/>
      <c r="E118" s="117"/>
      <c r="F118" s="117"/>
      <c r="G118" s="117"/>
      <c r="I118" s="35"/>
      <c r="K118" s="35"/>
      <c r="L118" s="70"/>
      <c r="M118" s="70"/>
      <c r="N118" s="70"/>
      <c r="O118" s="70"/>
      <c r="P118" s="70"/>
      <c r="Q118" s="70"/>
      <c r="R118" s="70"/>
      <c r="S118" s="63"/>
      <c r="T118" s="63"/>
      <c r="U118" s="63"/>
      <c r="V118" s="63"/>
      <c r="W118" s="63"/>
    </row>
    <row r="119" spans="1:23" ht="41.25" x14ac:dyDescent="0.55000000000000004">
      <c r="A119" s="63"/>
      <c r="B119" s="70"/>
      <c r="C119" s="101" t="s">
        <v>51</v>
      </c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70"/>
      <c r="S119" s="63"/>
      <c r="T119" s="63"/>
      <c r="U119" s="63"/>
      <c r="V119" s="63"/>
      <c r="W119" s="63"/>
    </row>
    <row r="120" spans="1:23" ht="36" x14ac:dyDescent="0.55000000000000004">
      <c r="A120" s="63"/>
      <c r="B120" s="70"/>
      <c r="C120" s="28"/>
      <c r="D120" s="27"/>
      <c r="E120" s="35"/>
      <c r="G120" s="35"/>
      <c r="I120" s="35"/>
      <c r="K120" s="35"/>
      <c r="L120" s="70"/>
      <c r="M120" s="70"/>
      <c r="N120" s="70"/>
      <c r="O120" s="70"/>
      <c r="P120" s="70"/>
      <c r="Q120" s="70"/>
      <c r="R120" s="70"/>
      <c r="S120" s="63"/>
      <c r="T120" s="63"/>
      <c r="U120" s="63"/>
      <c r="V120" s="63"/>
      <c r="W120" s="63"/>
    </row>
    <row r="121" spans="1:23" ht="36" x14ac:dyDescent="0.55000000000000004">
      <c r="A121" s="63"/>
      <c r="B121" s="70"/>
      <c r="C121" s="28" t="s">
        <v>68</v>
      </c>
      <c r="D121" s="27"/>
      <c r="E121" s="35"/>
      <c r="G121" s="35"/>
      <c r="I121" s="35"/>
      <c r="K121" s="35"/>
      <c r="L121" s="70"/>
      <c r="M121" s="70"/>
      <c r="N121" s="70"/>
      <c r="O121" s="70"/>
      <c r="P121" s="70"/>
      <c r="Q121" s="70"/>
      <c r="R121" s="70"/>
      <c r="S121" s="63"/>
      <c r="T121" s="63"/>
      <c r="U121" s="63"/>
      <c r="V121" s="63"/>
      <c r="W121" s="63"/>
    </row>
    <row r="122" spans="1:23" ht="36" x14ac:dyDescent="0.55000000000000004">
      <c r="A122" s="63"/>
      <c r="B122" s="70"/>
      <c r="D122" s="27"/>
      <c r="E122" s="35"/>
      <c r="G122" s="35"/>
      <c r="I122" s="35"/>
      <c r="K122" s="35"/>
      <c r="L122" s="70"/>
      <c r="M122" s="70"/>
      <c r="N122" s="70"/>
      <c r="O122" s="70"/>
      <c r="P122" s="70"/>
      <c r="Q122" s="70"/>
      <c r="R122" s="70"/>
      <c r="S122" s="63"/>
      <c r="T122" s="63"/>
      <c r="U122" s="63"/>
      <c r="V122" s="63"/>
      <c r="W122" s="63"/>
    </row>
    <row r="123" spans="1:23" ht="52.5" x14ac:dyDescent="0.55000000000000004">
      <c r="A123" s="63"/>
      <c r="B123" s="70"/>
      <c r="C123" s="80"/>
      <c r="D123" s="80"/>
      <c r="E123" s="80"/>
      <c r="F123" s="80"/>
      <c r="G123" s="70"/>
      <c r="H123" s="79" t="s">
        <v>70</v>
      </c>
      <c r="I123" s="79"/>
      <c r="J123" s="79"/>
      <c r="K123" s="79"/>
      <c r="L123" s="79"/>
      <c r="M123" s="81" t="s">
        <v>37</v>
      </c>
      <c r="N123" s="79" t="s">
        <v>4</v>
      </c>
      <c r="O123" s="79"/>
      <c r="P123" s="79"/>
      <c r="Q123" s="93" t="s">
        <v>2</v>
      </c>
      <c r="R123" s="93"/>
      <c r="S123" s="92" t="s">
        <v>3</v>
      </c>
      <c r="T123" s="92"/>
      <c r="U123" s="92"/>
      <c r="V123" s="63"/>
      <c r="W123" s="63"/>
    </row>
    <row r="124" spans="1:23" ht="36.75" thickBot="1" x14ac:dyDescent="0.6">
      <c r="A124" s="63"/>
      <c r="B124" s="70"/>
      <c r="C124" s="70"/>
      <c r="D124" s="70"/>
      <c r="E124" s="70"/>
      <c r="F124" s="70"/>
      <c r="G124" s="70"/>
      <c r="H124" s="70"/>
      <c r="I124" s="70"/>
      <c r="J124" s="70"/>
      <c r="T124" s="63"/>
      <c r="U124" s="63"/>
      <c r="V124" s="63"/>
      <c r="W124" s="63"/>
    </row>
    <row r="125" spans="1:23" ht="47.25" thickTop="1" x14ac:dyDescent="0.55000000000000004">
      <c r="A125" s="63"/>
      <c r="B125" s="70"/>
      <c r="C125" s="72" t="s">
        <v>3</v>
      </c>
      <c r="D125" s="72" t="s">
        <v>2</v>
      </c>
      <c r="E125" s="41" t="s">
        <v>69</v>
      </c>
      <c r="F125" s="41"/>
      <c r="G125" s="38" t="s">
        <v>2</v>
      </c>
      <c r="H125" s="9"/>
      <c r="I125" s="74">
        <v>7</v>
      </c>
      <c r="J125" s="1"/>
      <c r="K125" s="75">
        <v>1</v>
      </c>
      <c r="L125" s="5"/>
      <c r="M125" s="48" t="s">
        <v>37</v>
      </c>
      <c r="N125" s="77"/>
      <c r="O125" s="82">
        <v>9</v>
      </c>
      <c r="P125" s="5"/>
      <c r="R125" s="42" t="s">
        <v>2</v>
      </c>
      <c r="S125" s="77"/>
      <c r="T125" s="84" t="s">
        <v>71</v>
      </c>
      <c r="U125" s="5"/>
      <c r="V125" s="87"/>
      <c r="W125" s="35"/>
    </row>
    <row r="126" spans="1:23" ht="46.5" x14ac:dyDescent="0.55000000000000004">
      <c r="A126" s="63"/>
      <c r="B126" s="70"/>
      <c r="C126" s="72"/>
      <c r="D126" s="72"/>
      <c r="E126" s="41"/>
      <c r="F126" s="41"/>
      <c r="G126" s="38"/>
      <c r="H126" s="2"/>
      <c r="I126" s="74"/>
      <c r="J126" s="1"/>
      <c r="K126" s="75"/>
      <c r="L126" s="6"/>
      <c r="M126" s="48"/>
      <c r="N126" s="78"/>
      <c r="O126" s="82"/>
      <c r="P126" s="6"/>
      <c r="R126" s="42"/>
      <c r="S126" s="78"/>
      <c r="T126" s="84"/>
      <c r="U126" s="6"/>
      <c r="V126" s="87"/>
      <c r="W126" s="15"/>
    </row>
    <row r="127" spans="1:23" ht="46.5" x14ac:dyDescent="0.55000000000000004">
      <c r="A127" s="63"/>
      <c r="B127" s="70"/>
      <c r="C127" s="72"/>
      <c r="D127" s="72"/>
      <c r="E127" s="41"/>
      <c r="F127" s="41"/>
      <c r="G127" s="38"/>
      <c r="H127" s="2"/>
      <c r="I127" s="73">
        <v>10</v>
      </c>
      <c r="J127" s="1"/>
      <c r="K127" s="76">
        <v>15</v>
      </c>
      <c r="L127" s="7"/>
      <c r="M127" s="48"/>
      <c r="N127" s="78"/>
      <c r="O127" s="83">
        <v>22</v>
      </c>
      <c r="P127" s="6"/>
      <c r="R127" s="42"/>
      <c r="S127" s="78"/>
      <c r="T127" s="85" t="s">
        <v>72</v>
      </c>
      <c r="U127" s="6"/>
      <c r="V127" s="87"/>
    </row>
    <row r="128" spans="1:23" ht="47.25" thickBot="1" x14ac:dyDescent="0.6">
      <c r="A128" s="63"/>
      <c r="B128" s="70"/>
      <c r="C128" s="72"/>
      <c r="D128" s="72"/>
      <c r="E128" s="41"/>
      <c r="F128" s="41"/>
      <c r="G128" s="38"/>
      <c r="H128" s="10"/>
      <c r="I128" s="73"/>
      <c r="J128" s="1"/>
      <c r="K128" s="76"/>
      <c r="L128" s="11"/>
      <c r="M128" s="48"/>
      <c r="N128" s="10"/>
      <c r="O128" s="83"/>
      <c r="P128" s="11"/>
      <c r="R128" s="42"/>
      <c r="S128" s="10"/>
      <c r="T128" s="85"/>
      <c r="U128" s="11"/>
      <c r="V128" s="87"/>
      <c r="W128" s="35"/>
    </row>
    <row r="129" spans="1:23" ht="37.5" thickTop="1" thickBot="1" x14ac:dyDescent="0.6">
      <c r="A129" s="63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63"/>
      <c r="T129" s="63"/>
      <c r="U129" s="63"/>
      <c r="V129" s="63"/>
      <c r="W129" s="63"/>
    </row>
    <row r="130" spans="1:23" ht="47.25" thickTop="1" x14ac:dyDescent="0.55000000000000004">
      <c r="A130" s="63"/>
      <c r="B130" s="70"/>
      <c r="C130" s="70"/>
      <c r="D130" s="70"/>
      <c r="E130" s="70"/>
      <c r="F130" s="70"/>
      <c r="G130" s="42" t="s">
        <v>2</v>
      </c>
      <c r="H130" s="77"/>
      <c r="I130" s="84">
        <v>85</v>
      </c>
      <c r="J130" s="5"/>
      <c r="K130" s="42" t="s">
        <v>2</v>
      </c>
      <c r="L130" s="77"/>
      <c r="M130" s="84" t="s">
        <v>63</v>
      </c>
      <c r="N130" s="84"/>
      <c r="O130" s="84"/>
      <c r="P130" s="84"/>
      <c r="Q130" s="5"/>
      <c r="R130" s="42" t="s">
        <v>2</v>
      </c>
      <c r="S130" s="77"/>
      <c r="T130" s="84">
        <v>7</v>
      </c>
      <c r="U130" s="5"/>
      <c r="V130" s="63"/>
      <c r="W130" s="63"/>
    </row>
    <row r="131" spans="1:23" ht="46.5" x14ac:dyDescent="0.55000000000000004">
      <c r="A131" s="63"/>
      <c r="B131" s="70"/>
      <c r="C131" s="70"/>
      <c r="D131" s="70"/>
      <c r="E131" s="70"/>
      <c r="F131" s="70"/>
      <c r="G131" s="42"/>
      <c r="H131" s="78"/>
      <c r="I131" s="84"/>
      <c r="J131" s="6"/>
      <c r="K131" s="42"/>
      <c r="L131" s="78"/>
      <c r="M131" s="84"/>
      <c r="N131" s="84"/>
      <c r="O131" s="84"/>
      <c r="P131" s="84"/>
      <c r="Q131" s="6"/>
      <c r="R131" s="42"/>
      <c r="S131" s="78"/>
      <c r="T131" s="84"/>
      <c r="U131" s="6"/>
      <c r="V131" s="63"/>
      <c r="W131" s="63"/>
    </row>
    <row r="132" spans="1:23" ht="46.5" x14ac:dyDescent="0.55000000000000004">
      <c r="A132" s="63"/>
      <c r="B132" s="70"/>
      <c r="C132" s="70"/>
      <c r="D132" s="70"/>
      <c r="E132" s="70"/>
      <c r="F132" s="70"/>
      <c r="G132" s="42"/>
      <c r="H132" s="78"/>
      <c r="I132" s="85">
        <v>420</v>
      </c>
      <c r="J132" s="6"/>
      <c r="K132" s="42"/>
      <c r="L132" s="78"/>
      <c r="M132" s="85" t="s">
        <v>73</v>
      </c>
      <c r="N132" s="85"/>
      <c r="O132" s="85"/>
      <c r="P132" s="85"/>
      <c r="Q132" s="6"/>
      <c r="R132" s="42"/>
      <c r="S132" s="78"/>
      <c r="T132" s="85">
        <v>4</v>
      </c>
      <c r="U132" s="6"/>
      <c r="V132" s="63"/>
      <c r="W132" s="63"/>
    </row>
    <row r="133" spans="1:23" ht="47.25" thickBot="1" x14ac:dyDescent="0.6">
      <c r="A133" s="63"/>
      <c r="B133" s="70"/>
      <c r="C133" s="70"/>
      <c r="D133" s="70"/>
      <c r="E133" s="70"/>
      <c r="F133" s="70"/>
      <c r="G133" s="42"/>
      <c r="H133" s="10"/>
      <c r="I133" s="85"/>
      <c r="J133" s="11"/>
      <c r="K133" s="42"/>
      <c r="L133" s="10"/>
      <c r="M133" s="85"/>
      <c r="N133" s="85"/>
      <c r="O133" s="85"/>
      <c r="P133" s="85"/>
      <c r="Q133" s="11"/>
      <c r="R133" s="42"/>
      <c r="S133" s="10"/>
      <c r="T133" s="85"/>
      <c r="U133" s="11"/>
      <c r="V133" s="63"/>
      <c r="W133" s="63"/>
    </row>
    <row r="134" spans="1:23" ht="37.5" thickTop="1" thickBot="1" x14ac:dyDescent="0.6">
      <c r="A134" s="63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63"/>
      <c r="T134" s="63"/>
      <c r="U134" s="63"/>
      <c r="V134" s="63"/>
      <c r="W134" s="63"/>
    </row>
    <row r="135" spans="1:23" ht="47.25" thickTop="1" x14ac:dyDescent="0.55000000000000004">
      <c r="A135" s="63"/>
      <c r="B135" s="70"/>
      <c r="C135" s="90" t="s">
        <v>3</v>
      </c>
      <c r="D135" s="90"/>
      <c r="E135" s="88" t="s">
        <v>2</v>
      </c>
      <c r="F135" s="77"/>
      <c r="G135" s="91">
        <v>7</v>
      </c>
      <c r="H135" s="5"/>
      <c r="I135" s="70"/>
      <c r="J135" s="95" t="s">
        <v>74</v>
      </c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89"/>
      <c r="W135" s="89"/>
    </row>
    <row r="136" spans="1:23" ht="46.5" x14ac:dyDescent="0.55000000000000004">
      <c r="A136" s="63"/>
      <c r="B136" s="70"/>
      <c r="C136" s="90"/>
      <c r="D136" s="90"/>
      <c r="E136" s="88"/>
      <c r="F136" s="78"/>
      <c r="G136" s="91"/>
      <c r="H136" s="6"/>
      <c r="I136" s="70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89"/>
      <c r="W136" s="89"/>
    </row>
    <row r="137" spans="1:23" ht="46.5" x14ac:dyDescent="0.55000000000000004">
      <c r="A137" s="63"/>
      <c r="B137" s="70"/>
      <c r="C137" s="90"/>
      <c r="D137" s="90"/>
      <c r="E137" s="88"/>
      <c r="F137" s="78"/>
      <c r="G137" s="91">
        <v>4</v>
      </c>
      <c r="H137" s="6"/>
      <c r="I137" s="70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89"/>
      <c r="W137" s="89"/>
    </row>
    <row r="138" spans="1:23" ht="47.25" thickBot="1" x14ac:dyDescent="0.6">
      <c r="A138" s="63"/>
      <c r="B138" s="70"/>
      <c r="C138" s="90"/>
      <c r="D138" s="90"/>
      <c r="E138" s="88"/>
      <c r="F138" s="10"/>
      <c r="G138" s="91"/>
      <c r="H138" s="11"/>
      <c r="I138" s="70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89"/>
      <c r="W138" s="89"/>
    </row>
    <row r="139" spans="1:23" ht="36.75" thickTop="1" x14ac:dyDescent="0.55000000000000004">
      <c r="A139" s="63"/>
      <c r="B139" s="70"/>
      <c r="D139" s="27"/>
      <c r="E139" s="35"/>
      <c r="G139" s="35"/>
      <c r="I139" s="35"/>
      <c r="K139" s="35"/>
      <c r="L139" s="70"/>
      <c r="M139" s="70"/>
      <c r="N139" s="70"/>
      <c r="O139" s="70"/>
      <c r="P139" s="70"/>
      <c r="Q139" s="70"/>
      <c r="R139" s="70"/>
      <c r="S139" s="63"/>
      <c r="T139" s="63"/>
      <c r="U139" s="63"/>
      <c r="V139" s="63"/>
      <c r="W139" s="63"/>
    </row>
  </sheetData>
  <mergeCells count="129">
    <mergeCell ref="C135:D138"/>
    <mergeCell ref="E135:E138"/>
    <mergeCell ref="G135:G136"/>
    <mergeCell ref="G137:G138"/>
    <mergeCell ref="J135:U138"/>
    <mergeCell ref="O127:O128"/>
    <mergeCell ref="T127:T128"/>
    <mergeCell ref="G130:G133"/>
    <mergeCell ref="I130:I131"/>
    <mergeCell ref="K130:K133"/>
    <mergeCell ref="M130:P131"/>
    <mergeCell ref="R130:R133"/>
    <mergeCell ref="T130:T131"/>
    <mergeCell ref="I132:I133"/>
    <mergeCell ref="M132:P133"/>
    <mergeCell ref="T132:T133"/>
    <mergeCell ref="H123:L123"/>
    <mergeCell ref="N123:P123"/>
    <mergeCell ref="Q123:R123"/>
    <mergeCell ref="S123:U123"/>
    <mergeCell ref="C125:C128"/>
    <mergeCell ref="D125:D128"/>
    <mergeCell ref="E125:F128"/>
    <mergeCell ref="G125:G128"/>
    <mergeCell ref="I125:I126"/>
    <mergeCell ref="K125:K126"/>
    <mergeCell ref="M125:M128"/>
    <mergeCell ref="O125:O126"/>
    <mergeCell ref="R125:R128"/>
    <mergeCell ref="T125:T126"/>
    <mergeCell ref="I127:I128"/>
    <mergeCell ref="K127:K128"/>
    <mergeCell ref="D111:D112"/>
    <mergeCell ref="D114:D115"/>
    <mergeCell ref="C114:C115"/>
    <mergeCell ref="C117:Q117"/>
    <mergeCell ref="C119:Q119"/>
    <mergeCell ref="C118:G118"/>
    <mergeCell ref="D108:D109"/>
    <mergeCell ref="E108:G108"/>
    <mergeCell ref="E109:G109"/>
    <mergeCell ref="K108:O108"/>
    <mergeCell ref="K109:O109"/>
    <mergeCell ref="D105:D106"/>
    <mergeCell ref="E99:G100"/>
    <mergeCell ref="E102:F103"/>
    <mergeCell ref="C99:C100"/>
    <mergeCell ref="D99:D100"/>
    <mergeCell ref="D102:D103"/>
    <mergeCell ref="G68:K68"/>
    <mergeCell ref="C95:J95"/>
    <mergeCell ref="C97:E97"/>
    <mergeCell ref="D59:D60"/>
    <mergeCell ref="E59:G59"/>
    <mergeCell ref="E60:G60"/>
    <mergeCell ref="C66:S66"/>
    <mergeCell ref="D62:D63"/>
    <mergeCell ref="E62:G63"/>
    <mergeCell ref="E52:S52"/>
    <mergeCell ref="C54:S54"/>
    <mergeCell ref="E56:G56"/>
    <mergeCell ref="E57:G57"/>
    <mergeCell ref="C56:C57"/>
    <mergeCell ref="D56:D57"/>
    <mergeCell ref="C44:K44"/>
    <mergeCell ref="C45:S45"/>
    <mergeCell ref="J37:U40"/>
    <mergeCell ref="B42:F42"/>
    <mergeCell ref="C47:H47"/>
    <mergeCell ref="C49:L49"/>
    <mergeCell ref="E48:S48"/>
    <mergeCell ref="E50:S50"/>
    <mergeCell ref="G37:G38"/>
    <mergeCell ref="G39:G40"/>
    <mergeCell ref="E37:E40"/>
    <mergeCell ref="C37:D40"/>
    <mergeCell ref="G32:G35"/>
    <mergeCell ref="I32:I33"/>
    <mergeCell ref="I34:I35"/>
    <mergeCell ref="K32:K35"/>
    <mergeCell ref="M32:P33"/>
    <mergeCell ref="M34:P35"/>
    <mergeCell ref="R32:R35"/>
    <mergeCell ref="T32:T33"/>
    <mergeCell ref="T34:T35"/>
    <mergeCell ref="N25:P25"/>
    <mergeCell ref="M27:M30"/>
    <mergeCell ref="H25:L25"/>
    <mergeCell ref="R27:R30"/>
    <mergeCell ref="T27:T28"/>
    <mergeCell ref="T29:T30"/>
    <mergeCell ref="S25:U25"/>
    <mergeCell ref="Q25:R25"/>
    <mergeCell ref="O27:O28"/>
    <mergeCell ref="I29:I30"/>
    <mergeCell ref="K29:K30"/>
    <mergeCell ref="O29:O30"/>
    <mergeCell ref="E27:F30"/>
    <mergeCell ref="B18:J18"/>
    <mergeCell ref="B22:R22"/>
    <mergeCell ref="B24:F24"/>
    <mergeCell ref="G27:G30"/>
    <mergeCell ref="I27:I28"/>
    <mergeCell ref="K27:K28"/>
    <mergeCell ref="C27:C30"/>
    <mergeCell ref="D27:D30"/>
    <mergeCell ref="D19:J19"/>
    <mergeCell ref="D20:P20"/>
    <mergeCell ref="O14:R14"/>
    <mergeCell ref="G14:H14"/>
    <mergeCell ref="A4:A7"/>
    <mergeCell ref="J14:M14"/>
    <mergeCell ref="B14:D14"/>
    <mergeCell ref="H9:S12"/>
    <mergeCell ref="J4:S7"/>
    <mergeCell ref="B1:H1"/>
    <mergeCell ref="B2:H2"/>
    <mergeCell ref="B9:B12"/>
    <mergeCell ref="C9:C12"/>
    <mergeCell ref="B4:B7"/>
    <mergeCell ref="E4:E5"/>
    <mergeCell ref="G4:G5"/>
    <mergeCell ref="E6:E7"/>
    <mergeCell ref="G6:G7"/>
    <mergeCell ref="C4:C7"/>
    <mergeCell ref="B16:H16"/>
    <mergeCell ref="K19:M19"/>
    <mergeCell ref="E9:E10"/>
    <mergeCell ref="E11:E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10F0-030D-45DF-B143-9702C3C3C647}">
  <dimension ref="A1:T14"/>
  <sheetViews>
    <sheetView zoomScale="70" zoomScaleNormal="70" workbookViewId="0">
      <selection activeCell="S9" sqref="S9:S11"/>
    </sheetView>
  </sheetViews>
  <sheetFormatPr defaultRowHeight="15" x14ac:dyDescent="0.25"/>
  <cols>
    <col min="1" max="1" width="6.85546875" customWidth="1"/>
    <col min="3" max="3" width="6.140625" customWidth="1"/>
    <col min="4" max="4" width="2.28515625" customWidth="1"/>
    <col min="5" max="5" width="6.140625" customWidth="1"/>
    <col min="6" max="6" width="2.28515625" customWidth="1"/>
    <col min="7" max="7" width="6.85546875" customWidth="1"/>
    <col min="8" max="8" width="1.85546875" customWidth="1"/>
    <col min="9" max="9" width="6.28515625" customWidth="1"/>
    <col min="10" max="10" width="7.42578125" customWidth="1"/>
    <col min="11" max="11" width="7.5703125" customWidth="1"/>
    <col min="12" max="12" width="3.5703125" customWidth="1"/>
    <col min="13" max="13" width="8.7109375" customWidth="1"/>
    <col min="14" max="14" width="4.28515625" customWidth="1"/>
    <col min="15" max="15" width="5.42578125" customWidth="1"/>
    <col min="16" max="16" width="4.42578125" customWidth="1"/>
    <col min="17" max="17" width="6" customWidth="1"/>
    <col min="18" max="18" width="19.140625" customWidth="1"/>
    <col min="19" max="19" width="10.42578125" customWidth="1"/>
    <col min="20" max="20" width="2.140625" customWidth="1"/>
  </cols>
  <sheetData>
    <row r="1" spans="1:20" ht="36" x14ac:dyDescent="0.55000000000000004">
      <c r="A1" s="18" t="s">
        <v>8</v>
      </c>
      <c r="B1" s="43" t="s">
        <v>13</v>
      </c>
      <c r="C1" s="43"/>
      <c r="D1" s="43"/>
      <c r="E1" s="43"/>
      <c r="F1" s="43"/>
      <c r="G1" s="43"/>
      <c r="H1" s="43"/>
      <c r="I1" s="43"/>
      <c r="J1" s="43"/>
      <c r="K1" s="19"/>
      <c r="L1" s="19"/>
      <c r="M1" s="52" t="s">
        <v>16</v>
      </c>
      <c r="N1" s="52"/>
      <c r="O1" s="52"/>
      <c r="P1" s="52"/>
      <c r="Q1" s="52"/>
      <c r="R1" s="52"/>
      <c r="S1" s="52"/>
    </row>
    <row r="2" spans="1:20" ht="15.75" thickBot="1" x14ac:dyDescent="0.3"/>
    <row r="3" spans="1:20" ht="34.5" customHeight="1" thickTop="1" x14ac:dyDescent="0.25">
      <c r="B3" s="39" t="s">
        <v>1</v>
      </c>
      <c r="C3" s="38" t="s">
        <v>2</v>
      </c>
      <c r="D3" s="9"/>
      <c r="E3" s="40">
        <v>7</v>
      </c>
      <c r="F3" s="1"/>
      <c r="G3" s="40">
        <v>3</v>
      </c>
      <c r="H3" s="5"/>
      <c r="J3" s="39" t="s">
        <v>3</v>
      </c>
      <c r="K3" s="38" t="s">
        <v>2</v>
      </c>
      <c r="L3" s="9"/>
      <c r="M3" s="50">
        <v>7</v>
      </c>
      <c r="N3" s="5"/>
      <c r="P3" s="39"/>
    </row>
    <row r="4" spans="1:20" ht="35.25" customHeight="1" x14ac:dyDescent="0.25">
      <c r="B4" s="39"/>
      <c r="C4" s="38"/>
      <c r="D4" s="2"/>
      <c r="E4" s="40"/>
      <c r="F4" s="1"/>
      <c r="G4" s="40"/>
      <c r="H4" s="6"/>
      <c r="J4" s="39"/>
      <c r="K4" s="38"/>
      <c r="L4" s="2"/>
      <c r="M4" s="50"/>
      <c r="N4" s="6"/>
      <c r="P4" s="39"/>
    </row>
    <row r="5" spans="1:20" ht="30" customHeight="1" x14ac:dyDescent="0.25">
      <c r="B5" s="39"/>
      <c r="C5" s="38"/>
      <c r="D5" s="2"/>
      <c r="E5" s="40">
        <v>4</v>
      </c>
      <c r="F5" s="1"/>
      <c r="G5" s="40">
        <v>3</v>
      </c>
      <c r="H5" s="7"/>
      <c r="I5" s="4"/>
      <c r="J5" s="39"/>
      <c r="K5" s="38"/>
      <c r="L5" s="2"/>
      <c r="M5" s="51">
        <v>4</v>
      </c>
      <c r="N5" s="6"/>
      <c r="P5" s="39"/>
    </row>
    <row r="6" spans="1:20" ht="34.5" customHeight="1" thickBot="1" x14ac:dyDescent="0.3">
      <c r="B6" s="39"/>
      <c r="C6" s="38"/>
      <c r="D6" s="10"/>
      <c r="E6" s="40"/>
      <c r="F6" s="1"/>
      <c r="G6" s="40"/>
      <c r="H6" s="6"/>
      <c r="J6" s="39"/>
      <c r="K6" s="38"/>
      <c r="L6" s="10"/>
      <c r="M6" s="51"/>
      <c r="N6" s="11"/>
      <c r="P6" s="39"/>
    </row>
    <row r="7" spans="1:20" ht="15.75" thickTop="1" x14ac:dyDescent="0.25">
      <c r="H7" s="8"/>
    </row>
    <row r="8" spans="1:20" x14ac:dyDescent="0.25">
      <c r="B8" s="48" t="s">
        <v>1</v>
      </c>
      <c r="C8" s="49" t="s">
        <v>2</v>
      </c>
    </row>
    <row r="9" spans="1:20" ht="36" x14ac:dyDescent="0.55000000000000004">
      <c r="B9" s="48"/>
      <c r="C9" s="49"/>
      <c r="D9" s="47" t="s">
        <v>14</v>
      </c>
      <c r="E9" s="47"/>
      <c r="F9" s="47"/>
      <c r="G9" s="47"/>
      <c r="H9" s="47"/>
      <c r="Q9" s="41"/>
      <c r="R9" s="41"/>
      <c r="S9" s="45"/>
      <c r="T9" s="41"/>
    </row>
    <row r="10" spans="1:20" ht="36" x14ac:dyDescent="0.55000000000000004">
      <c r="B10" s="48"/>
      <c r="C10" s="49"/>
      <c r="K10" s="25">
        <v>1</v>
      </c>
      <c r="L10" s="25" t="s">
        <v>9</v>
      </c>
      <c r="M10" s="25">
        <v>3</v>
      </c>
      <c r="N10" s="25" t="s">
        <v>11</v>
      </c>
      <c r="O10" s="25">
        <v>9</v>
      </c>
      <c r="Q10" s="41"/>
      <c r="R10" s="41"/>
      <c r="S10" s="45"/>
      <c r="T10" s="41"/>
    </row>
    <row r="11" spans="1:20" ht="36" x14ac:dyDescent="0.55000000000000004">
      <c r="B11" s="12"/>
      <c r="C11" s="17" t="s">
        <v>2</v>
      </c>
      <c r="D11" s="47" t="s">
        <v>15</v>
      </c>
      <c r="E11" s="47"/>
      <c r="F11" s="47"/>
      <c r="G11" s="47"/>
      <c r="H11" s="13"/>
      <c r="I11" s="16" t="s">
        <v>2</v>
      </c>
      <c r="J11" s="13">
        <v>9</v>
      </c>
      <c r="K11" s="46" t="s">
        <v>7</v>
      </c>
      <c r="L11" s="46"/>
      <c r="M11" s="46"/>
      <c r="N11" s="14"/>
      <c r="Q11" s="41"/>
      <c r="R11" s="41"/>
      <c r="S11" s="45"/>
      <c r="T11" s="41"/>
    </row>
    <row r="12" spans="1:20" ht="30.75" customHeight="1" x14ac:dyDescent="0.5">
      <c r="B12" s="12"/>
      <c r="C12" s="17"/>
      <c r="I12" s="17"/>
      <c r="K12" s="23"/>
    </row>
    <row r="13" spans="1:20" ht="36" x14ac:dyDescent="0.55000000000000004">
      <c r="B13" s="18" t="s">
        <v>1</v>
      </c>
      <c r="C13" s="18" t="s">
        <v>10</v>
      </c>
      <c r="D13" s="44">
        <v>0</v>
      </c>
      <c r="E13" s="44"/>
      <c r="F13" s="44"/>
      <c r="G13" s="18" t="s">
        <v>11</v>
      </c>
      <c r="H13" s="44" t="s">
        <v>17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</row>
    <row r="14" spans="1:20" ht="36" x14ac:dyDescent="0.55000000000000004">
      <c r="H14" s="44" t="s">
        <v>18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</row>
  </sheetData>
  <mergeCells count="25">
    <mergeCell ref="G3:G4"/>
    <mergeCell ref="J3:J6"/>
    <mergeCell ref="K3:K6"/>
    <mergeCell ref="M3:M4"/>
    <mergeCell ref="B8:B10"/>
    <mergeCell ref="C8:C10"/>
    <mergeCell ref="D9:H9"/>
    <mergeCell ref="Q9:Q11"/>
    <mergeCell ref="R9:R11"/>
    <mergeCell ref="M1:S1"/>
    <mergeCell ref="H13:R13"/>
    <mergeCell ref="H14:R14"/>
    <mergeCell ref="T9:T11"/>
    <mergeCell ref="D11:G11"/>
    <mergeCell ref="K11:M11"/>
    <mergeCell ref="D13:F13"/>
    <mergeCell ref="S9:S11"/>
    <mergeCell ref="P3:P6"/>
    <mergeCell ref="E5:E6"/>
    <mergeCell ref="G5:G6"/>
    <mergeCell ref="M5:M6"/>
    <mergeCell ref="B1:J1"/>
    <mergeCell ref="B3:B6"/>
    <mergeCell ref="C3:C6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AHZAHID</dc:creator>
  <cp:lastModifiedBy>AHZAHID</cp:lastModifiedBy>
  <dcterms:created xsi:type="dcterms:W3CDTF">2015-06-05T18:17:20Z</dcterms:created>
  <dcterms:modified xsi:type="dcterms:W3CDTF">2020-05-08T18:02:34Z</dcterms:modified>
</cp:coreProperties>
</file>